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3"/>
    <sheet name="Verification 08-10-2026" sheetId="2" state="visible" r:id="rId4"/>
    <sheet name="Read Me" sheetId="3" state="visible" r:id="rId5"/>
    <sheet name="Scenario Matrix" sheetId="4" state="visible" r:id="rId6"/>
    <sheet name="Assignment Calc" sheetId="5" state="visible" r:id="rId7"/>
    <sheet name="Daily Expected" sheetId="6" state="visible" r:id="rId8"/>
    <sheet name="Daily Closed-Cancelled" sheetId="7" state="visible" r:id="rId9"/>
    <sheet name="Weekly Expected" sheetId="8" state="visible" r:id="rId10"/>
    <sheet name="Monthly Expected" sheetId="9" state="visible" r:id="rId11"/>
  </sheets>
  <definedNames>
    <definedName function="false" hidden="true" localSheetId="8" name="_xlnm._FilterDatabase" vbProcedure="false">'Monthly Expected'!$A$1:$P$37</definedName>
    <definedName function="false" hidden="true" localSheetId="7" name="_xlnm._FilterDatabase" vbProcedure="false">'Weekly Expected'!$A$1:$I$127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hrs/day: hours per day; %/day: percent; hrs: TOTAL hours. Copied from Tasks!N (Work Hours Per Owner) / Tasks!M.</t>
        </r>
      </text>
    </comment>
  </commentList>
</comments>
</file>

<file path=xl/sharedStrings.xml><?xml version="1.0" encoding="utf-8"?>
<sst xmlns="http://schemas.openxmlformats.org/spreadsheetml/2006/main" count="4774" uniqueCount="711">
  <si>
    <t xml:space="preserve">Task Name</t>
  </si>
  <si>
    <t xml:space="preserve">Owner</t>
  </si>
  <si>
    <t xml:space="preserve">Custom Status</t>
  </si>
  <si>
    <t xml:space="preserve">Associated Team</t>
  </si>
  <si>
    <t xml:space="preserve">Tags</t>
  </si>
  <si>
    <t xml:space="preserve">Start Date</t>
  </si>
  <si>
    <t xml:space="preserve">Due Date</t>
  </si>
  <si>
    <t xml:space="preserve">Duration</t>
  </si>
  <si>
    <t xml:space="preserve">Duration Type</t>
  </si>
  <si>
    <t xml:space="preserve">Priority</t>
  </si>
  <si>
    <t xml:space="preserve">% Completed</t>
  </si>
  <si>
    <t xml:space="preserve">Task Description</t>
  </si>
  <si>
    <t xml:space="preserve">Work hours</t>
  </si>
  <si>
    <t xml:space="preserve">Work Hours Per Owner</t>
  </si>
  <si>
    <t xml:space="preserve">Work Hours Unit</t>
  </si>
  <si>
    <t xml:space="preserve">Individual Work</t>
  </si>
  <si>
    <t xml:space="preserve">Billing Type</t>
  </si>
  <si>
    <t xml:space="preserve">Task List Name</t>
  </si>
  <si>
    <t xml:space="preserve">Multi Select</t>
  </si>
  <si>
    <t xml:space="preserve">User Pick List All Users</t>
  </si>
  <si>
    <t xml:space="preserve">User Pick List Select Users</t>
  </si>
  <si>
    <t xml:space="preserve">User Pick List Select Roles</t>
  </si>
  <si>
    <t xml:space="preserve">Multi User Select Users</t>
  </si>
  <si>
    <t xml:space="preserve">Multi User All Users</t>
  </si>
  <si>
    <t xml:space="preserve">Date &amp; Time</t>
  </si>
  <si>
    <t xml:space="preserve">Date</t>
  </si>
  <si>
    <t xml:space="preserve">Decimal</t>
  </si>
  <si>
    <t xml:space="preserve">Number</t>
  </si>
  <si>
    <t xml:space="preserve">Percentage</t>
  </si>
  <si>
    <t xml:space="preserve">Currency</t>
  </si>
  <si>
    <t xml:space="preserve">Checkbox</t>
  </si>
  <si>
    <t xml:space="preserve">Long URL</t>
  </si>
  <si>
    <t xml:space="preserve">URL</t>
  </si>
  <si>
    <t xml:space="preserve">Phone</t>
  </si>
  <si>
    <t xml:space="preserve">Email</t>
  </si>
  <si>
    <t xml:space="preserve">Pick List</t>
  </si>
  <si>
    <t xml:space="preserve">Multi-Line</t>
  </si>
  <si>
    <t xml:space="preserve">Single-Line</t>
  </si>
  <si>
    <t xml:space="preserve">WL Oct W1 Over-allocated (1 of 2) - Vishal workload</t>
  </si>
  <si>
    <t xml:space="preserve">Vishal workload</t>
  </si>
  <si>
    <t xml:space="preserve">Open</t>
  </si>
  <si>
    <t xml:space="preserve">UIAutomation_Workload_TeamA</t>
  </si>
  <si>
    <t xml:space="preserve">wl-over</t>
  </si>
  <si>
    <t xml:space="preserve">05/10/2026</t>
  </si>
  <si>
    <t xml:space="preserve">09/10/2026</t>
  </si>
  <si>
    <t xml:space="preserve">5</t>
  </si>
  <si>
    <t xml:space="preserve">days</t>
  </si>
  <si>
    <t xml:space="preserve">High</t>
  </si>
  <si>
    <t xml:space="preserve">0</t>
  </si>
  <si>
    <t xml:space="preserve">Workload full coverage [Over-allocated]. Scenario: Over-allocated week, variant a: 6:00/d + 4:30/d. Expected: Vishal workload: 10:30 h/day on 5 working days (116.67% of 9 h).</t>
  </si>
  <si>
    <t xml:space="preserve">30:00</t>
  </si>
  <si>
    <t xml:space="preserve">06:00</t>
  </si>
  <si>
    <t xml:space="preserve">hrs/day</t>
  </si>
  <si>
    <t xml:space="preserve">Vishal workload-06:00 /day</t>
  </si>
  <si>
    <t xml:space="preserve">Billable</t>
  </si>
  <si>
    <t xml:space="preserve">WL Oct 2026</t>
  </si>
  <si>
    <t xml:space="preserve">WL Oct W1 Over-allocated (2 of 2) - Vishal workload</t>
  </si>
  <si>
    <t xml:space="preserve">In Progress</t>
  </si>
  <si>
    <t xml:space="preserve">UIAutomation_Workload_TeamB</t>
  </si>
  <si>
    <t xml:space="preserve">Medium</t>
  </si>
  <si>
    <t xml:space="preserve">10</t>
  </si>
  <si>
    <t xml:space="preserve">22:30</t>
  </si>
  <si>
    <t xml:space="preserve">04:30</t>
  </si>
  <si>
    <t xml:space="preserve">Vishal workload-04:30 /day</t>
  </si>
  <si>
    <t xml:space="preserve">Non Billable</t>
  </si>
  <si>
    <t xml:space="preserve">A</t>
  </si>
  <si>
    <t xml:space="preserve">Vishal workload,Vishal PLAdmin</t>
  </si>
  <si>
    <t xml:space="preserve">01/10/2026 09:30</t>
  </si>
  <si>
    <t xml:space="preserve">01/10/2026</t>
  </si>
  <si>
    <t xml:space="preserve">1.125</t>
  </si>
  <si>
    <t xml:space="preserve">25.0</t>
  </si>
  <si>
    <t xml:space="preserve">100.00</t>
  </si>
  <si>
    <t xml:space="preserve">true</t>
  </si>
  <si>
    <t xml:space="preserve">https://projects.zoho.com/portal/workload/cv/1?view=all</t>
  </si>
  <si>
    <t xml:space="preserve">https://www.zoho.com/projects/1</t>
  </si>
  <si>
    <t xml:space="preserve">9876543201</t>
  </si>
  <si>
    <t xml:space="preserve">cv1@example.com</t>
  </si>
  <si>
    <t xml:space="preserve">1</t>
  </si>
  <si>
    <t xml:space="preserve">CV multi line 1
second line</t>
  </si>
  <si>
    <t xml:space="preserve">CV single line 1</t>
  </si>
  <si>
    <t xml:space="preserve">WL Oct W2 Optimally allocated - Vishal workload</t>
  </si>
  <si>
    <t xml:space="preserve">In Review</t>
  </si>
  <si>
    <t xml:space="preserve">UIAutomation_Workload_TeamB, UIAutomation_Workload_TeamA</t>
  </si>
  <si>
    <t xml:space="preserve">wl-optimal</t>
  </si>
  <si>
    <t xml:space="preserve">12/10/2026</t>
  </si>
  <si>
    <t xml:space="preserve">16/10/2026</t>
  </si>
  <si>
    <t xml:space="preserve">Low</t>
  </si>
  <si>
    <t xml:space="preserve">25</t>
  </si>
  <si>
    <t xml:space="preserve">Workload full coverage [Optimally allocated]. Scenario: Optimally allocated week, variant a: 9:00/d. Expected: Vishal workload: 09:00 h/day on 5 working days (100.00% of 9 h).</t>
  </si>
  <si>
    <t xml:space="preserve">45:00</t>
  </si>
  <si>
    <t xml:space="preserve">09:00</t>
  </si>
  <si>
    <t xml:space="preserve">Vishal workload-09:00 /day</t>
  </si>
  <si>
    <t xml:space="preserve">None</t>
  </si>
  <si>
    <t xml:space="preserve">B</t>
  </si>
  <si>
    <t xml:space="preserve">Vishal PLAdmin</t>
  </si>
  <si>
    <t xml:space="preserve">02/10/2026 10:30</t>
  </si>
  <si>
    <t xml:space="preserve">02/10/2026</t>
  </si>
  <si>
    <t xml:space="preserve">2.225</t>
  </si>
  <si>
    <t xml:space="preserve">20</t>
  </si>
  <si>
    <t xml:space="preserve">50.0</t>
  </si>
  <si>
    <t xml:space="preserve">200.00</t>
  </si>
  <si>
    <t xml:space="preserve">false</t>
  </si>
  <si>
    <t xml:space="preserve">https://projects.zoho.com/portal/workload/cv/2?view=all</t>
  </si>
  <si>
    <t xml:space="preserve">https://www.zoho.com/projects/2</t>
  </si>
  <si>
    <t xml:space="preserve">9876543202</t>
  </si>
  <si>
    <t xml:space="preserve">cv2@example.com</t>
  </si>
  <si>
    <t xml:space="preserve">2</t>
  </si>
  <si>
    <t xml:space="preserve">CV multi line 2
second line</t>
  </si>
  <si>
    <t xml:space="preserve">CV single line 2</t>
  </si>
  <si>
    <t xml:space="preserve">WL Oct W3 Under-allocated - Vishal workload</t>
  </si>
  <si>
    <t xml:space="preserve">To be Tested</t>
  </si>
  <si>
    <t xml:space="preserve">wl-under</t>
  </si>
  <si>
    <t xml:space="preserve">19/10/2026</t>
  </si>
  <si>
    <t xml:space="preserve">23/10/2026</t>
  </si>
  <si>
    <t xml:space="preserve">50</t>
  </si>
  <si>
    <t xml:space="preserve">Workload full coverage [Under-allocated]. Scenario: Under-allocated week, variant a: 4:30/d. Expected: Vishal workload: 04:30 h/day on 5 working days (50.00% of 9 h).</t>
  </si>
  <si>
    <t xml:space="preserve">A,B</t>
  </si>
  <si>
    <t xml:space="preserve">vishal PL manager</t>
  </si>
  <si>
    <t xml:space="preserve">03/10/2026 11:30</t>
  </si>
  <si>
    <t xml:space="preserve">03/10/2026</t>
  </si>
  <si>
    <t xml:space="preserve">3.325</t>
  </si>
  <si>
    <t xml:space="preserve">30</t>
  </si>
  <si>
    <t xml:space="preserve">75.0</t>
  </si>
  <si>
    <t xml:space="preserve">300.00</t>
  </si>
  <si>
    <t xml:space="preserve">https://projects.zoho.com/portal/workload/cv/3?view=all</t>
  </si>
  <si>
    <t xml:space="preserve">https://www.zoho.com/projects/3</t>
  </si>
  <si>
    <t xml:space="preserve">9876543203</t>
  </si>
  <si>
    <t xml:space="preserve">cv3@example.com</t>
  </si>
  <si>
    <t xml:space="preserve">3</t>
  </si>
  <si>
    <t xml:space="preserve">CV multi line 3
second line</t>
  </si>
  <si>
    <t xml:space="preserve">CV single line 3</t>
  </si>
  <si>
    <t xml:space="preserve">WL Nov W1 Optimally allocated - Vishal workload</t>
  </si>
  <si>
    <t xml:space="preserve">On Hold</t>
  </si>
  <si>
    <t xml:space="preserve">02/11/2026</t>
  </si>
  <si>
    <t xml:space="preserve">06/11/2026</t>
  </si>
  <si>
    <t xml:space="preserve">75</t>
  </si>
  <si>
    <t xml:space="preserve">Workload full coverage [Optimally allocated]. Scenario: Optimally allocated week, variant d: total 9 h/d. Expected: Vishal workload: 09:00 h/day on 5 working days (100.00% of 9 h).</t>
  </si>
  <si>
    <t xml:space="preserve">hrs</t>
  </si>
  <si>
    <t xml:space="preserve">Vishal workload-45:00</t>
  </si>
  <si>
    <t xml:space="preserve">WL Nov 2026</t>
  </si>
  <si>
    <t xml:space="preserve">WL Nov W2 Under-allocated - Vishal workload</t>
  </si>
  <si>
    <t xml:space="preserve">Delayed</t>
  </si>
  <si>
    <t xml:space="preserve">09/11/2026</t>
  </si>
  <si>
    <t xml:space="preserve">13/11/2026</t>
  </si>
  <si>
    <t xml:space="preserve">90</t>
  </si>
  <si>
    <t xml:space="preserve">Workload full coverage [Under-allocated]. Scenario: Under-allocated week, variant d: 8:30/d. Expected: Vishal workload: 08:30 h/day on 5 working days (94.44% of 9 h).</t>
  </si>
  <si>
    <t xml:space="preserve">42:30</t>
  </si>
  <si>
    <t xml:space="preserve">08:30</t>
  </si>
  <si>
    <t xml:space="preserve">Vishal workload-08:30 /day</t>
  </si>
  <si>
    <t xml:space="preserve">WL Nov W3 Unallocated - Vishal workload</t>
  </si>
  <si>
    <t xml:space="preserve">Closed</t>
  </si>
  <si>
    <t xml:space="preserve">wl-unallocated</t>
  </si>
  <si>
    <t xml:space="preserve">16/11/2026</t>
  </si>
  <si>
    <t xml:space="preserve">20/11/2026</t>
  </si>
  <si>
    <t xml:space="preserve">100</t>
  </si>
  <si>
    <t xml:space="preserve">Workload full coverage [Unallocated]. Scenario: Unallocated week, variant d: task with 0:00. Expected: Vishal workload: 00:00 h/day on 5 working days (0.00% of 9 h).</t>
  </si>
  <si>
    <t xml:space="preserve">00:00</t>
  </si>
  <si>
    <t xml:space="preserve">Vishal workload-00:00 /day</t>
  </si>
  <si>
    <t xml:space="preserve">Workload CV List</t>
  </si>
  <si>
    <t xml:space="preserve">WL Nov W4 Over-allocated (1 of 2) - Vishal workload</t>
  </si>
  <si>
    <t xml:space="preserve">Cancelled</t>
  </si>
  <si>
    <t xml:space="preserve">23/11/2026</t>
  </si>
  <si>
    <t xml:space="preserve">27/11/2026</t>
  </si>
  <si>
    <t xml:space="preserve">Workload full coverage [Over-allocated]. Scenario: Over-allocated week, variant d: 5:00/d + 50 %/d. Expected: Vishal workload: 09:30 h/day on 5 working days (105.56% of 9 h).</t>
  </si>
  <si>
    <t xml:space="preserve">25:00</t>
  </si>
  <si>
    <t xml:space="preserve">05:00</t>
  </si>
  <si>
    <t xml:space="preserve">Vishal workload-05:00 /day</t>
  </si>
  <si>
    <t xml:space="preserve">WL Nov W4 Over-allocated (2 of 2) - Vishal workload</t>
  </si>
  <si>
    <t xml:space="preserve">%/day</t>
  </si>
  <si>
    <t xml:space="preserve">Vishal workload-50 %/day</t>
  </si>
  <si>
    <t xml:space="preserve">WL Dec W1 Under-allocated - Vishal workload</t>
  </si>
  <si>
    <t xml:space="preserve">07/12/2026</t>
  </si>
  <si>
    <t xml:space="preserve">11/12/2026</t>
  </si>
  <si>
    <t xml:space="preserve">Workload full coverage [Under-allocated]. Scenario: Under-allocated week, variant c: total 3 h/d. Expected: Vishal workload: 03:00 h/day on 5 working days (33.33% of 9 h).</t>
  </si>
  <si>
    <t xml:space="preserve">15:00</t>
  </si>
  <si>
    <t xml:space="preserve">Vishal workload-15:00</t>
  </si>
  <si>
    <t xml:space="preserve">WL Dec 2026</t>
  </si>
  <si>
    <t xml:space="preserve">WL Dec W3 Over-allocated - Vishal workload</t>
  </si>
  <si>
    <t xml:space="preserve">21/12/2026</t>
  </si>
  <si>
    <t xml:space="preserve">25/12/2026</t>
  </si>
  <si>
    <t xml:space="preserve">Workload full coverage [Over-allocated]. Scenario: Over-allocated week, variant c: total 12 h/d. Expected: Vishal workload: 12:00 h/day on 5 working days (133.33% of 9 h).</t>
  </si>
  <si>
    <t xml:space="preserve">60:00</t>
  </si>
  <si>
    <t xml:space="preserve">Vishal workload-60:00</t>
  </si>
  <si>
    <t xml:space="preserve">WL Dec W4 Optimally allocated (1 of 2) - Vishal workload</t>
  </si>
  <si>
    <t xml:space="preserve">28/12/2026</t>
  </si>
  <si>
    <t xml:space="preserve">31/12/2026</t>
  </si>
  <si>
    <t xml:space="preserve">4</t>
  </si>
  <si>
    <t xml:space="preserve">Workload full coverage [Optimally allocated]. Scenario: Optimally allocated week, variant c: total 4.5 h/d + 4:30/d. Expected: Vishal workload: 09:00 h/day on 4 working days (100.00% of 9 h).</t>
  </si>
  <si>
    <t xml:space="preserve">18:00</t>
  </si>
  <si>
    <t xml:space="preserve">Vishal workload-18:00</t>
  </si>
  <si>
    <t xml:space="preserve">WL Dec W4 Optimally allocated (2 of 2) - Vishal workload</t>
  </si>
  <si>
    <t xml:space="preserve">WL Oct W1 Optimally allocated - Vishal PLAdmin</t>
  </si>
  <si>
    <t xml:space="preserve">Workload full coverage [Optimally allocated]. Scenario: Optimally allocated week, variant b: 100 %/d. Expected: Vishal PLAdmin: 09:00 h/day on 5 working days (100.00% of 9 h).</t>
  </si>
  <si>
    <t xml:space="preserve">Vishal PLAdmin-100 %/day</t>
  </si>
  <si>
    <t xml:space="preserve">WL Oct W2 Under-allocated - Vishal PLAdmin</t>
  </si>
  <si>
    <t xml:space="preserve">Workload full coverage [Under-allocated]. Scenario: Under-allocated week, variant b: 25 %/d. Expected: Vishal PLAdmin: 02:15 h/day on 5 working days (25.00% of 9 h).</t>
  </si>
  <si>
    <t xml:space="preserve">11:15</t>
  </si>
  <si>
    <t xml:space="preserve">Vishal PLAdmin-25 %/day</t>
  </si>
  <si>
    <t xml:space="preserve">WL Oct W4 Over-allocated - Vishal PLAdmin</t>
  </si>
  <si>
    <t xml:space="preserve">26/10/2026</t>
  </si>
  <si>
    <t xml:space="preserve">30/10/2026</t>
  </si>
  <si>
    <t xml:space="preserve">Workload full coverage [Over-allocated]. Scenario: Over-allocated week, variant b: 150 %/d. Expected: Vishal PLAdmin: 13:30 h/day on 5 working days (150.00% of 9 h).</t>
  </si>
  <si>
    <t xml:space="preserve">67:30</t>
  </si>
  <si>
    <t xml:space="preserve">150</t>
  </si>
  <si>
    <t xml:space="preserve">Vishal PLAdmin-150 %/day</t>
  </si>
  <si>
    <t xml:space="preserve">WL Nov W1 Under-allocated - Vishal PLAdmin</t>
  </si>
  <si>
    <t xml:space="preserve">Workload full coverage [Under-allocated]. Scenario: Under-allocated week, variant a: 4:30/d. Expected: Vishal PLAdmin: 04:30 h/day on 5 working days (50.00% of 9 h).</t>
  </si>
  <si>
    <t xml:space="preserve">Vishal PLAdmin-04:30 /day</t>
  </si>
  <si>
    <t xml:space="preserve">WL Nov W3 Over-allocated (1 of 2) - Vishal PLAdmin</t>
  </si>
  <si>
    <t xml:space="preserve">Workload full coverage [Over-allocated]. Scenario: Over-allocated week, variant a: 6:00/d + 4:30/d. Expected: Vishal PLAdmin: 10:30 h/day on 5 working days (116.67% of 9 h).</t>
  </si>
  <si>
    <t xml:space="preserve">Vishal PLAdmin-06:00 /day</t>
  </si>
  <si>
    <t xml:space="preserve">WL Nov W3 Over-allocated (2 of 2) - Vishal PLAdmin</t>
  </si>
  <si>
    <t xml:space="preserve">WL Nov W4 Optimally allocated - Vishal PLAdmin</t>
  </si>
  <si>
    <t xml:space="preserve">Workload full coverage [Optimally allocated]. Scenario: Optimally allocated week, variant a: 9:00/d. Expected: Vishal PLAdmin: 09:00 h/day on 5 working days (100.00% of 9 h).</t>
  </si>
  <si>
    <t xml:space="preserve">Vishal PLAdmin-09:00 /day</t>
  </si>
  <si>
    <t xml:space="preserve">WL Dec W1 Unallocated - Vishal PLAdmin</t>
  </si>
  <si>
    <t xml:space="preserve">Workload full coverage [Unallocated]. Scenario: Unallocated week, variant d: task with 0:00. Expected: Vishal PLAdmin: 00:00 h/day on 5 working days (0.00% of 9 h).</t>
  </si>
  <si>
    <t xml:space="preserve">Vishal PLAdmin-00:00 /day</t>
  </si>
  <si>
    <t xml:space="preserve">WL Dec W2 Over-allocated (1 of 2) - Vishal PLAdmin</t>
  </si>
  <si>
    <t xml:space="preserve">14/12/2026</t>
  </si>
  <si>
    <t xml:space="preserve">18/12/2026</t>
  </si>
  <si>
    <t xml:space="preserve">Workload full coverage [Over-allocated]. Scenario: Over-allocated week, variant d: 5:00/d + 50 %/d. Expected: Vishal PLAdmin: 09:30 h/day on 5 working days (105.56% of 9 h).</t>
  </si>
  <si>
    <t xml:space="preserve">Vishal PLAdmin-05:00 /day</t>
  </si>
  <si>
    <t xml:space="preserve">WL Dec W2 Over-allocated (2 of 2) - Vishal PLAdmin</t>
  </si>
  <si>
    <t xml:space="preserve">Vishal PLAdmin-50 %/day</t>
  </si>
  <si>
    <t xml:space="preserve">WL Dec W3 Optimally allocated - Vishal PLAdmin</t>
  </si>
  <si>
    <t xml:space="preserve">Workload full coverage [Optimally allocated]. Scenario: Optimally allocated week, variant d: total 9 h/d. Expected: Vishal PLAdmin: 09:00 h/day on 5 working days (100.00% of 9 h).</t>
  </si>
  <si>
    <t xml:space="preserve">Vishal PLAdmin-45:00</t>
  </si>
  <si>
    <t xml:space="preserve">WL Dec W4 Under-allocated - Vishal PLAdmin</t>
  </si>
  <si>
    <t xml:space="preserve">Workload full coverage [Under-allocated]. Scenario: Under-allocated week, variant d: 8:30/d. Expected: Vishal PLAdmin: 08:30 h/day on 4 working days (94.44% of 9 h).</t>
  </si>
  <si>
    <t xml:space="preserve">34:00</t>
  </si>
  <si>
    <t xml:space="preserve">Vishal PLAdmin-08:30 /day</t>
  </si>
  <si>
    <t xml:space="preserve">WL Oct W1 Under-allocated - vishal PL manager</t>
  </si>
  <si>
    <t xml:space="preserve">Workload full coverage [Under-allocated]. Scenario: Under-allocated week, variant c: total 3 h/d. Expected: vishal PL manager: 03:00 h/day on 5 working days (33.33% of 9 h).</t>
  </si>
  <si>
    <t xml:space="preserve">vishal PL manager-15:00</t>
  </si>
  <si>
    <t xml:space="preserve">WL Oct W3 Over-allocated - vishal PL manager</t>
  </si>
  <si>
    <t xml:space="preserve">Workload full coverage [Over-allocated]. Scenario: Over-allocated week, variant c: total 12 h/d. Expected: vishal PL manager: 12:00 h/day on 5 working days (133.33% of 9 h).</t>
  </si>
  <si>
    <t xml:space="preserve">vishal PL manager-60:00</t>
  </si>
  <si>
    <t xml:space="preserve">WL Oct W4 Optimally allocated (1 of 2) - vishal PL manager</t>
  </si>
  <si>
    <t xml:space="preserve">Workload full coverage [Optimally allocated]. Scenario: Optimally allocated week, variant c: total 4.5 h/d + 4:30/d. Expected: vishal PL manager: 09:00 h/day on 5 working days (100.00% of 9 h).</t>
  </si>
  <si>
    <t xml:space="preserve">vishal PL manager-22:30</t>
  </si>
  <si>
    <t xml:space="preserve">WL Oct W4 Optimally allocated (2 of 2) - vishal PL manager</t>
  </si>
  <si>
    <t xml:space="preserve">vishal PL manager-04:30 /day</t>
  </si>
  <si>
    <t xml:space="preserve">WL Nov W2 Over-allocated - vishal PL manager</t>
  </si>
  <si>
    <t xml:space="preserve">Workload full coverage [Over-allocated]. Scenario: Over-allocated week, variant b: 150 %/d. Expected: vishal PL manager: 13:30 h/day on 5 working days (150.00% of 9 h).</t>
  </si>
  <si>
    <t xml:space="preserve">vishal PL manager-150 %/day</t>
  </si>
  <si>
    <t xml:space="preserve">WL Nov W3 Optimally allocated - vishal PL manager</t>
  </si>
  <si>
    <t xml:space="preserve">Workload full coverage [Optimally allocated]. Scenario: Optimally allocated week, variant b: 100 %/d. Expected: vishal PL manager: 09:00 h/day on 5 working days (100.00% of 9 h).</t>
  </si>
  <si>
    <t xml:space="preserve">vishal PL manager-100 %/day</t>
  </si>
  <si>
    <t xml:space="preserve">WL Nov W4 Under-allocated - vishal PL manager</t>
  </si>
  <si>
    <t xml:space="preserve">Workload full coverage [Under-allocated]. Scenario: Under-allocated week, variant b: 25 %/d. Expected: vishal PL manager: 02:15 h/day on 5 working days (25.00% of 9 h).</t>
  </si>
  <si>
    <t xml:space="preserve">vishal PL manager-25 %/day</t>
  </si>
  <si>
    <t xml:space="preserve">WL Dec W1 Over-allocated (1 of 2) - vishal PL manager</t>
  </si>
  <si>
    <t xml:space="preserve">Workload full coverage [Over-allocated]. Scenario: Over-allocated week, variant a: 6:00/d + 4:30/d. Expected: vishal PL manager: 10:30 h/day on 5 working days (116.67% of 9 h).</t>
  </si>
  <si>
    <t xml:space="preserve">vishal PL manager-06:00 /day</t>
  </si>
  <si>
    <t xml:space="preserve">WL Dec W1 Over-allocated (2 of 2) - vishal PL manager</t>
  </si>
  <si>
    <t xml:space="preserve">WL Dec W2 Optimally allocated - vishal PL manager</t>
  </si>
  <si>
    <t xml:space="preserve">Workload full coverage [Optimally allocated]. Scenario: Optimally allocated week, variant a: 9:00/d. Expected: vishal PL manager: 09:00 h/day on 5 working days (100.00% of 9 h).</t>
  </si>
  <si>
    <t xml:space="preserve">vishal PL manager-09:00 /day</t>
  </si>
  <si>
    <t xml:space="preserve">WL Dec W3 Under-allocated - vishal PL manager</t>
  </si>
  <si>
    <t xml:space="preserve">Workload full coverage [Under-allocated]. Scenario: Under-allocated week, variant a: 4:30/d. Expected: vishal PL manager: 04:30 h/day on 5 working days (50.00% of 9 h).</t>
  </si>
  <si>
    <t xml:space="preserve">WL Oct W1 Unallocated - Vishal plemployee</t>
  </si>
  <si>
    <t xml:space="preserve">Vishal plemployee</t>
  </si>
  <si>
    <t xml:space="preserve">Workload full coverage [Unallocated]. Scenario: Unallocated week, variant d: task with 0:00. Expected: Vishal plemployee: 00:00 h/day on 5 working days (0.00% of 9 h).</t>
  </si>
  <si>
    <t xml:space="preserve">Vishal plemployee-00:00 /day</t>
  </si>
  <si>
    <t xml:space="preserve">WL Oct W2 Over-allocated (1 of 2) - Vishal plemployee</t>
  </si>
  <si>
    <t xml:space="preserve">Workload full coverage [Over-allocated]. Scenario: Over-allocated week, variant d: 5:00/d + 50 %/d. Expected: Vishal plemployee: 09:30 h/day on 5 working days (105.56% of 9 h).</t>
  </si>
  <si>
    <t xml:space="preserve">Vishal plemployee-05:00 /day</t>
  </si>
  <si>
    <t xml:space="preserve">WL Oct W2 Over-allocated (2 of 2) - Vishal plemployee</t>
  </si>
  <si>
    <t xml:space="preserve">Vishal plemployee-50 %/day</t>
  </si>
  <si>
    <t xml:space="preserve">WL Oct W3 Optimally allocated - Vishal plemployee</t>
  </si>
  <si>
    <t xml:space="preserve">Workload full coverage [Optimally allocated]. Scenario: Optimally allocated week, variant d: total 9 h/d. Expected: Vishal plemployee: 09:00 h/day on 5 working days (100.00% of 9 h).</t>
  </si>
  <si>
    <t xml:space="preserve">Vishal plemployee-45:00</t>
  </si>
  <si>
    <t xml:space="preserve">WL Oct W4 Under-allocated - Vishal plemployee</t>
  </si>
  <si>
    <t xml:space="preserve">Workload full coverage [Under-allocated]. Scenario: Under-allocated week, variant d: 8:30/d. Expected: Vishal plemployee: 08:30 h/day on 5 working days (94.44% of 9 h).</t>
  </si>
  <si>
    <t xml:space="preserve">Vishal plemployee-08:30 /day</t>
  </si>
  <si>
    <t xml:space="preserve">WL Nov W1 Over-allocated - Vishal plemployee</t>
  </si>
  <si>
    <t xml:space="preserve">Workload full coverage [Over-allocated]. Scenario: Over-allocated week, variant c: total 12 h/d. Expected: Vishal plemployee: 12:00 h/day on 5 working days (133.33% of 9 h).</t>
  </si>
  <si>
    <t xml:space="preserve">Vishal plemployee-60:00</t>
  </si>
  <si>
    <t xml:space="preserve">WL Nov W2 Optimally allocated (1 of 2) - Vishal plemployee</t>
  </si>
  <si>
    <t xml:space="preserve">Workload full coverage [Optimally allocated]. Scenario: Optimally allocated week, variant c: total 4.5 h/d + 4:30/d. Expected: Vishal plemployee: 09:00 h/day on 5 working days (100.00% of 9 h).</t>
  </si>
  <si>
    <t xml:space="preserve">Vishal plemployee-22:30</t>
  </si>
  <si>
    <t xml:space="preserve">WL Nov W2 Optimally allocated (2 of 2) - Vishal plemployee</t>
  </si>
  <si>
    <t xml:space="preserve">Vishal plemployee-04:30 /day</t>
  </si>
  <si>
    <t xml:space="preserve">WL Nov W3 Under-allocated - Vishal plemployee</t>
  </si>
  <si>
    <t xml:space="preserve">Workload full coverage [Under-allocated]. Scenario: Under-allocated week, variant c: total 3 h/d. Expected: Vishal plemployee: 03:00 h/day on 5 working days (33.33% of 9 h).</t>
  </si>
  <si>
    <t xml:space="preserve">Vishal plemployee-15:00</t>
  </si>
  <si>
    <t xml:space="preserve">WL Dec W1 Optimally allocated - Vishal plemployee</t>
  </si>
  <si>
    <t xml:space="preserve">Workload full coverage [Optimally allocated]. Scenario: Optimally allocated week, variant b: 100 %/d. Expected: Vishal plemployee: 09:00 h/day on 5 working days (100.00% of 9 h).</t>
  </si>
  <si>
    <t xml:space="preserve">Vishal plemployee-100 %/day</t>
  </si>
  <si>
    <t xml:space="preserve">WL Dec W2 Under-allocated - Vishal plemployee</t>
  </si>
  <si>
    <t xml:space="preserve">Workload full coverage [Under-allocated]. Scenario: Under-allocated week, variant b: 25 %/d. Expected: Vishal plemployee: 02:15 h/day on 5 working days (25.00% of 9 h).</t>
  </si>
  <si>
    <t xml:space="preserve">Vishal plemployee-25 %/day</t>
  </si>
  <si>
    <t xml:space="preserve">WL Dec W4 Over-allocated - Vishal plemployee</t>
  </si>
  <si>
    <t xml:space="preserve">Workload full coverage [Over-allocated]. Scenario: Over-allocated week, variant b: 150 %/d. Expected: Vishal plemployee: 13:30 h/day on 4 working days (150.00% of 9 h).</t>
  </si>
  <si>
    <t xml:space="preserve">54:00</t>
  </si>
  <si>
    <t xml:space="preserve">Vishal plemployee-150 %/day</t>
  </si>
  <si>
    <t xml:space="preserve">WL Oct W1 Over-allocated (1 of 2) - Vishal plreadonly</t>
  </si>
  <si>
    <t xml:space="preserve">Vishal plreadonly</t>
  </si>
  <si>
    <t xml:space="preserve">Workload full coverage [Over-allocated]. Scenario: Over-allocated week, variant a: 6:00/d + 4:30/d. Expected: Vishal plreadonly: 10:30 h/day on 5 working days (116.67% of 9 h).</t>
  </si>
  <si>
    <t xml:space="preserve">Vishal plreadonly-06:00 /day</t>
  </si>
  <si>
    <t xml:space="preserve">WL Oct W1 Over-allocated (2 of 2) - Vishal plreadonly</t>
  </si>
  <si>
    <t xml:space="preserve">Vishal plreadonly-04:30 /day</t>
  </si>
  <si>
    <t xml:space="preserve">WL Oct W2 Optimally allocated - Vishal plreadonly</t>
  </si>
  <si>
    <t xml:space="preserve">Workload full coverage [Optimally allocated]. Scenario: Optimally allocated week, variant a: 9:00/d. Expected: Vishal plreadonly: 09:00 h/day on 5 working days (100.00% of 9 h).</t>
  </si>
  <si>
    <t xml:space="preserve">Vishal plreadonly-09:00 /day</t>
  </si>
  <si>
    <t xml:space="preserve">WL Oct W3 Under-allocated - Vishal plreadonly</t>
  </si>
  <si>
    <t xml:space="preserve">Workload full coverage [Under-allocated]. Scenario: Under-allocated week, variant a: 4:30/d. Expected: Vishal plreadonly: 04:30 h/day on 5 working days (50.00% of 9 h).</t>
  </si>
  <si>
    <t xml:space="preserve">WL Nov W1 Optimally allocated - Vishal plreadonly</t>
  </si>
  <si>
    <t xml:space="preserve">Workload full coverage [Optimally allocated]. Scenario: Optimally allocated week, variant d: total 9 h/d. Expected: Vishal plreadonly: 09:00 h/day on 5 working days (100.00% of 9 h).</t>
  </si>
  <si>
    <t xml:space="preserve">Vishal plreadonly-45:00</t>
  </si>
  <si>
    <t xml:space="preserve">WL Nov W2 Under-allocated - Vishal plreadonly</t>
  </si>
  <si>
    <t xml:space="preserve">Workload full coverage [Under-allocated]. Scenario: Under-allocated week, variant d: 8:30/d. Expected: Vishal plreadonly: 08:30 h/day on 5 working days (94.44% of 9 h).</t>
  </si>
  <si>
    <t xml:space="preserve">Vishal plreadonly-08:30 /day</t>
  </si>
  <si>
    <t xml:space="preserve">WL Nov W3 Unallocated - Vishal plreadonly</t>
  </si>
  <si>
    <t xml:space="preserve">Workload full coverage [Unallocated]. Scenario: Unallocated week, variant d: task with 0:00. Expected: Vishal plreadonly: 00:00 h/day on 5 working days (0.00% of 9 h).</t>
  </si>
  <si>
    <t xml:space="preserve">Vishal plreadonly-00:00 /day</t>
  </si>
  <si>
    <t xml:space="preserve">WL Nov W4 Over-allocated (1 of 2) - Vishal plreadonly</t>
  </si>
  <si>
    <t xml:space="preserve">Workload full coverage [Over-allocated]. Scenario: Over-allocated week, variant d: 5:00/d + 50 %/d. Expected: Vishal plreadonly: 09:30 h/day on 5 working days (105.56% of 9 h).</t>
  </si>
  <si>
    <t xml:space="preserve">Vishal plreadonly-05:00 /day</t>
  </si>
  <si>
    <t xml:space="preserve">WL Nov W4 Over-allocated (2 of 2) - Vishal plreadonly</t>
  </si>
  <si>
    <t xml:space="preserve">Vishal plreadonly-50 %/day</t>
  </si>
  <si>
    <t xml:space="preserve">WL Dec W1 Under-allocated - Vishal plreadonly</t>
  </si>
  <si>
    <t xml:space="preserve">Workload full coverage [Under-allocated]. Scenario: Under-allocated week, variant c: total 3 h/d. Expected: Vishal plreadonly: 03:00 h/day on 5 working days (33.33% of 9 h).</t>
  </si>
  <si>
    <t xml:space="preserve">Vishal plreadonly-15:00</t>
  </si>
  <si>
    <t xml:space="preserve">WL Dec W3 Over-allocated - Vishal plreadonly</t>
  </si>
  <si>
    <t xml:space="preserve">Workload full coverage [Over-allocated]. Scenario: Over-allocated week, variant c: total 12 h/d. Expected: Vishal plreadonly: 12:00 h/day on 5 working days (133.33% of 9 h).</t>
  </si>
  <si>
    <t xml:space="preserve">Vishal plreadonly-60:00</t>
  </si>
  <si>
    <t xml:space="preserve">WL Dec W4 Optimally allocated (1 of 2) - Vishal plreadonly</t>
  </si>
  <si>
    <t xml:space="preserve">Workload full coverage [Optimally allocated]. Scenario: Optimally allocated week, variant c: total 4.5 h/d + 4:30/d. Expected: Vishal plreadonly: 09:00 h/day on 4 working days (100.00% of 9 h).</t>
  </si>
  <si>
    <t xml:space="preserve">Vishal plreadonly-18:00</t>
  </si>
  <si>
    <t xml:space="preserve">WL Dec W4 Optimally allocated (2 of 2) - Vishal plreadonly</t>
  </si>
  <si>
    <t xml:space="preserve">WL Oct W1 Optimally allocated - Vishal liteuser</t>
  </si>
  <si>
    <t xml:space="preserve">Vishal liteuser</t>
  </si>
  <si>
    <t xml:space="preserve">Workload full coverage [Optimally allocated]. Scenario: Optimally allocated week, variant b: 100 %/d. Expected: Vishal liteuser: 09:00 h/day on 5 working days (100.00% of 9 h).</t>
  </si>
  <si>
    <t xml:space="preserve">Vishal liteuser-100 %/day</t>
  </si>
  <si>
    <t xml:space="preserve">WL Oct W2 Under-allocated - Vishal liteuser</t>
  </si>
  <si>
    <t xml:space="preserve">Workload full coverage [Under-allocated]. Scenario: Under-allocated week, variant b: 25 %/d. Expected: Vishal liteuser: 02:15 h/day on 5 working days (25.00% of 9 h).</t>
  </si>
  <si>
    <t xml:space="preserve">Vishal liteuser-25 %/day</t>
  </si>
  <si>
    <t xml:space="preserve">WL Oct W4 Over-allocated - Vishal liteuser</t>
  </si>
  <si>
    <t xml:space="preserve">Workload full coverage [Over-allocated]. Scenario: Over-allocated week, variant b: 150 %/d. Expected: Vishal liteuser: 13:30 h/day on 5 working days (150.00% of 9 h).</t>
  </si>
  <si>
    <t xml:space="preserve">Vishal liteuser-150 %/day</t>
  </si>
  <si>
    <t xml:space="preserve">WL Nov W1 Under-allocated - Vishal liteuser</t>
  </si>
  <si>
    <t xml:space="preserve">Workload full coverage [Under-allocated]. Scenario: Under-allocated week, variant a: 4:30/d. Expected: Vishal liteuser: 04:30 h/day on 5 working days (50.00% of 9 h).</t>
  </si>
  <si>
    <t xml:space="preserve">Vishal liteuser-04:30 /day</t>
  </si>
  <si>
    <t xml:space="preserve">WL Nov W3 Over-allocated (1 of 2) - Vishal liteuser</t>
  </si>
  <si>
    <t xml:space="preserve">Workload full coverage [Over-allocated]. Scenario: Over-allocated week, variant a: 6:00/d + 4:30/d. Expected: Vishal liteuser: 10:30 h/day on 5 working days (116.67% of 9 h).</t>
  </si>
  <si>
    <t xml:space="preserve">Vishal liteuser-06:00 /day</t>
  </si>
  <si>
    <t xml:space="preserve">WL Nov W3 Over-allocated (2 of 2) - Vishal liteuser</t>
  </si>
  <si>
    <t xml:space="preserve">WL Nov W4 Optimally allocated - Vishal liteuser</t>
  </si>
  <si>
    <t xml:space="preserve">Workload full coverage [Optimally allocated]. Scenario: Optimally allocated week, variant a: 9:00/d. Expected: Vishal liteuser: 09:00 h/day on 5 working days (100.00% of 9 h).</t>
  </si>
  <si>
    <t xml:space="preserve">Vishal liteuser-09:00 /day</t>
  </si>
  <si>
    <t xml:space="preserve">WL Dec W1 Unallocated - Vishal liteuser</t>
  </si>
  <si>
    <t xml:space="preserve">Workload full coverage [Unallocated]. Scenario: Unallocated week, variant d: task with 0:00. Expected: Vishal liteuser: 00:00 h/day on 5 working days (0.00% of 9 h).</t>
  </si>
  <si>
    <t xml:space="preserve">Vishal liteuser-00:00 /day</t>
  </si>
  <si>
    <t xml:space="preserve">WL Dec W2 Over-allocated (1 of 2) - Vishal liteuser</t>
  </si>
  <si>
    <t xml:space="preserve">Workload full coverage [Over-allocated]. Scenario: Over-allocated week, variant d: 5:00/d + 50 %/d. Expected: Vishal liteuser: 09:30 h/day on 5 working days (105.56% of 9 h).</t>
  </si>
  <si>
    <t xml:space="preserve">Vishal liteuser-05:00 /day</t>
  </si>
  <si>
    <t xml:space="preserve">WL Dec W2 Over-allocated (2 of 2) - Vishal liteuser</t>
  </si>
  <si>
    <t xml:space="preserve">Vishal liteuser-50 %/day</t>
  </si>
  <si>
    <t xml:space="preserve">WL Dec W3 Optimally allocated - Vishal liteuser</t>
  </si>
  <si>
    <t xml:space="preserve">Workload full coverage [Optimally allocated]. Scenario: Optimally allocated week, variant d: total 9 h/d. Expected: Vishal liteuser: 09:00 h/day on 5 working days (100.00% of 9 h).</t>
  </si>
  <si>
    <t xml:space="preserve">Vishal liteuser-45:00</t>
  </si>
  <si>
    <t xml:space="preserve">WL Dec W4 Under-allocated - Vishal liteuser</t>
  </si>
  <si>
    <t xml:space="preserve">Workload full coverage [Under-allocated]. Scenario: Under-allocated week, variant d: 8:30/d. Expected: Vishal liteuser: 08:30 h/day on 4 working days (94.44% of 9 h).</t>
  </si>
  <si>
    <t xml:space="preserve">Vishal liteuser-08:30 /day</t>
  </si>
  <si>
    <t xml:space="preserve">WL Oct W1 Under-allocated - Vishal customprofile</t>
  </si>
  <si>
    <t xml:space="preserve">Vishal customprofile</t>
  </si>
  <si>
    <t xml:space="preserve">Workload full coverage [Under-allocated]. Scenario: Under-allocated week, variant c: total 3 h/d. Expected: Vishal customprofile: 03:00 h/day on 5 working days (33.33% of 9 h).</t>
  </si>
  <si>
    <t xml:space="preserve">Vishal customprofile-15:00</t>
  </si>
  <si>
    <t xml:space="preserve">WL Oct W3 Over-allocated - Vishal customprofile</t>
  </si>
  <si>
    <t xml:space="preserve">Workload full coverage [Over-allocated]. Scenario: Over-allocated week, variant c: total 12 h/d. Expected: Vishal customprofile: 12:00 h/day on 5 working days (133.33% of 9 h).</t>
  </si>
  <si>
    <t xml:space="preserve">Vishal customprofile-60:00</t>
  </si>
  <si>
    <t xml:space="preserve">WL Oct W4 Optimally allocated (1 of 2) - Vishal customprofile</t>
  </si>
  <si>
    <t xml:space="preserve">Workload full coverage [Optimally allocated]. Scenario: Optimally allocated week, variant c: total 4.5 h/d + 4:30/d. Expected: Vishal customprofile: 09:00 h/day on 5 working days (100.00% of 9 h).</t>
  </si>
  <si>
    <t xml:space="preserve">Vishal customprofile-22:30</t>
  </si>
  <si>
    <t xml:space="preserve">WL Oct W4 Optimally allocated (2 of 2) - Vishal customprofile</t>
  </si>
  <si>
    <t xml:space="preserve">Vishal customprofile-04:30 /day</t>
  </si>
  <si>
    <t xml:space="preserve">WL Nov W2 Over-allocated - Vishal customprofile</t>
  </si>
  <si>
    <t xml:space="preserve">Workload full coverage [Over-allocated]. Scenario: Over-allocated week, variant b: 150 %/d. Expected: Vishal customprofile: 13:30 h/day on 5 working days (150.00% of 9 h).</t>
  </si>
  <si>
    <t xml:space="preserve">Vishal customprofile-150 %/day</t>
  </si>
  <si>
    <t xml:space="preserve">WL Nov W3 Optimally allocated - Vishal customprofile</t>
  </si>
  <si>
    <t xml:space="preserve">Workload full coverage [Optimally allocated]. Scenario: Optimally allocated week, variant b: 100 %/d. Expected: Vishal customprofile: 09:00 h/day on 5 working days (100.00% of 9 h).</t>
  </si>
  <si>
    <t xml:space="preserve">Vishal customprofile-100 %/day</t>
  </si>
  <si>
    <t xml:space="preserve">WL Nov W4 Under-allocated - Vishal customprofile</t>
  </si>
  <si>
    <t xml:space="preserve">Workload full coverage [Under-allocated]. Scenario: Under-allocated week, variant b: 25 %/d. Expected: Vishal customprofile: 02:15 h/day on 5 working days (25.00% of 9 h).</t>
  </si>
  <si>
    <t xml:space="preserve">Vishal customprofile-25 %/day</t>
  </si>
  <si>
    <t xml:space="preserve">WL Dec W1 Over-allocated (1 of 2) - Vishal customprofile</t>
  </si>
  <si>
    <t xml:space="preserve">Workload full coverage [Over-allocated]. Scenario: Over-allocated week, variant a: 6:00/d + 4:30/d. Expected: Vishal customprofile: 10:30 h/day on 5 working days (116.67% of 9 h).</t>
  </si>
  <si>
    <t xml:space="preserve">Vishal customprofile-06:00 /day</t>
  </si>
  <si>
    <t xml:space="preserve">WL Dec W1 Over-allocated (2 of 2) - Vishal customprofile</t>
  </si>
  <si>
    <t xml:space="preserve">WL Dec W2 Optimally allocated - Vishal customprofile</t>
  </si>
  <si>
    <t xml:space="preserve">Workload full coverage [Optimally allocated]. Scenario: Optimally allocated week, variant a: 9:00/d. Expected: Vishal customprofile: 09:00 h/day on 5 working days (100.00% of 9 h).</t>
  </si>
  <si>
    <t xml:space="preserve">Vishal customprofile-09:00 /day</t>
  </si>
  <si>
    <t xml:space="preserve">WL Dec W3 Under-allocated - Vishal customprofile</t>
  </si>
  <si>
    <t xml:space="preserve">Workload full coverage [Under-allocated]. Scenario: Under-allocated week, variant a: 4:30/d. Expected: Vishal customprofile: 04:30 h/day on 5 working days (50.00% of 9 h).</t>
  </si>
  <si>
    <t xml:space="preserve">WL Oct W1 Unallocated - UIAutomation_Workload_Resource</t>
  </si>
  <si>
    <t xml:space="preserve">UIAutomation_Workload_Resource</t>
  </si>
  <si>
    <t xml:space="preserve">Workload full coverage [Unallocated]. Scenario: Unallocated week, variant d: task with 0:00. Expected: UIAutomation_Workload_Resource: 00:00 h/day on 5 working days (0.00% of 9 h).</t>
  </si>
  <si>
    <t xml:space="preserve">UIAutomation_Workload_Resource-00:00 /day</t>
  </si>
  <si>
    <t xml:space="preserve">WL Oct W2 Over-allocated (1 of 2) - UIAutomation_Workload_Resource</t>
  </si>
  <si>
    <t xml:space="preserve">Workload full coverage [Over-allocated]. Scenario: Over-allocated week, variant d: 5:00/d + 50 %/d. Expected: UIAutomation_Workload_Resource: 09:30 h/day on 5 working days (105.56% of 9 h).</t>
  </si>
  <si>
    <t xml:space="preserve">UIAutomation_Workload_Resource-05:00 /day</t>
  </si>
  <si>
    <t xml:space="preserve">WL Oct W2 Over-allocated (2 of 2) - UIAutomation_Workload_Resource</t>
  </si>
  <si>
    <t xml:space="preserve">UIAutomation_Workload_Resource-50 %/day</t>
  </si>
  <si>
    <t xml:space="preserve">WL Oct W3 Optimally allocated - UIAutomation_Workload_Resource</t>
  </si>
  <si>
    <t xml:space="preserve">Workload full coverage [Optimally allocated]. Scenario: Optimally allocated week, variant d: total 9 h/d. Expected: UIAutomation_Workload_Resource: 09:00 h/day on 5 working days (100.00% of 9 h).</t>
  </si>
  <si>
    <t xml:space="preserve">UIAutomation_Workload_Resource-45:00</t>
  </si>
  <si>
    <t xml:space="preserve">WL Oct W4 Under-allocated - UIAutomation_Workload_Resource</t>
  </si>
  <si>
    <t xml:space="preserve">Workload full coverage [Under-allocated]. Scenario: Under-allocated week, variant d: 8:30/d. Expected: UIAutomation_Workload_Resource: 08:30 h/day on 5 working days (94.44% of 9 h).</t>
  </si>
  <si>
    <t xml:space="preserve">UIAutomation_Workload_Resource-08:30 /day</t>
  </si>
  <si>
    <t xml:space="preserve">WL Nov W1 Over-allocated - UIAutomation_Workload_Resource</t>
  </si>
  <si>
    <t xml:space="preserve">Workload full coverage [Over-allocated]. Scenario: Over-allocated week, variant c: total 12 h/d. Expected: UIAutomation_Workload_Resource: 12:00 h/day on 5 working days (133.33% of 9 h).</t>
  </si>
  <si>
    <t xml:space="preserve">UIAutomation_Workload_Resource-60:00</t>
  </si>
  <si>
    <t xml:space="preserve">WL Nov W2 Optimally allocated (1 of 2) - UIAutomation_Workload_Resource</t>
  </si>
  <si>
    <t xml:space="preserve">Workload full coverage [Optimally allocated]. Scenario: Optimally allocated week, variant c: total 4.5 h/d + 4:30/d. Expected: UIAutomation_Workload_Resource: 09:00 h/day on 5 working days (100.00% of 9 h).</t>
  </si>
  <si>
    <t xml:space="preserve">UIAutomation_Workload_Resource-22:30</t>
  </si>
  <si>
    <t xml:space="preserve">WL Nov W2 Optimally allocated (2 of 2) - UIAutomation_Workload_Resource</t>
  </si>
  <si>
    <t xml:space="preserve">UIAutomation_Workload_Resource-04:30 /day</t>
  </si>
  <si>
    <t xml:space="preserve">WL Nov W3 Under-allocated - UIAutomation_Workload_Resource</t>
  </si>
  <si>
    <t xml:space="preserve">Workload full coverage [Under-allocated]. Scenario: Under-allocated week, variant c: total 3 h/d. Expected: UIAutomation_Workload_Resource: 03:00 h/day on 5 working days (33.33% of 9 h).</t>
  </si>
  <si>
    <t xml:space="preserve">UIAutomation_Workload_Resource-15:00</t>
  </si>
  <si>
    <t xml:space="preserve">WL Dec W1 Optimally allocated - UIAutomation_Workload_Resource</t>
  </si>
  <si>
    <t xml:space="preserve">Workload full coverage [Optimally allocated]. Scenario: Optimally allocated week, variant b: 100 %/d. Expected: UIAutomation_Workload_Resource: 09:00 h/day on 5 working days (100.00% of 9 h).</t>
  </si>
  <si>
    <t xml:space="preserve">UIAutomation_Workload_Resource-100 %/day</t>
  </si>
  <si>
    <t xml:space="preserve">WL Dec W2 Under-allocated - UIAutomation_Workload_Resource</t>
  </si>
  <si>
    <t xml:space="preserve">Workload full coverage [Under-allocated]. Scenario: Under-allocated week, variant b: 25 %/d. Expected: UIAutomation_Workload_Resource: 02:15 h/day on 5 working days (25.00% of 9 h).</t>
  </si>
  <si>
    <t xml:space="preserve">UIAutomation_Workload_Resource-25 %/day</t>
  </si>
  <si>
    <t xml:space="preserve">WL Dec W4 Over-allocated - UIAutomation_Workload_Resource</t>
  </si>
  <si>
    <t xml:space="preserve">Workload full coverage [Over-allocated]. Scenario: Over-allocated week, variant b: 150 %/d. Expected: UIAutomation_Workload_Resource: 13:30 h/day on 4 working days (150.00% of 9 h).</t>
  </si>
  <si>
    <t xml:space="preserve">UIAutomation_Workload_Resource-150 %/day</t>
  </si>
  <si>
    <t xml:space="preserve">WL-E01 Weekend span total hours - Vishal workload</t>
  </si>
  <si>
    <t xml:space="preserve">wl-edge</t>
  </si>
  <si>
    <t xml:space="preserve">04/10/2026</t>
  </si>
  <si>
    <t xml:space="preserve">Workload full coverage [Edge]. Scenario: Thu-Sun span, 18 h total spread over working days only. Expected: 9:00 on Thu 1 Oct and Fri 2 Oct; 0 on Sat/Sun.</t>
  </si>
  <si>
    <t xml:space="preserve">WL Edge Cases</t>
  </si>
  <si>
    <t xml:space="preserve">WL-E02 Single-day total hours - Vishal PLAdmin</t>
  </si>
  <si>
    <t xml:space="preserve">Workload full coverage [Edge]. Scenario: Single day task, 12 h total. Expected: 12:00 on 1 Oct = 133.33 % (over).</t>
  </si>
  <si>
    <t xml:space="preserve">12:00</t>
  </si>
  <si>
    <t xml:space="preserve">Vishal PLAdmin-12:00</t>
  </si>
  <si>
    <t xml:space="preserve">WL-E03 Weekend-only task - vishal PL manager</t>
  </si>
  <si>
    <t xml:space="preserve">Workload full coverage [Edge]. Scenario: Starts and ends on non-working days (Sat-Sun). Expected: VERIFY: 0 h expected (no working days in range).</t>
  </si>
  <si>
    <t xml:space="preserve">08:00</t>
  </si>
  <si>
    <t xml:space="preserve">04:00</t>
  </si>
  <si>
    <t xml:space="preserve">vishal PL manager-04:00 /day</t>
  </si>
  <si>
    <t xml:space="preserve">WL-E04 Zero-hour owned task - Vishal plemployee</t>
  </si>
  <si>
    <t xml:space="preserve">Workload full coverage [Edge]. Scenario: Owner set, work 00:00. Expected: Task listed under user, 0 h allocated.</t>
  </si>
  <si>
    <t xml:space="preserve">Vishal plemployee-00:00</t>
  </si>
  <si>
    <t xml:space="preserve">WL-E05 150 percent per day - Vishal customprofile</t>
  </si>
  <si>
    <t xml:space="preserve">Workload full coverage [Edge]. Scenario: %/day above 100. Expected: 13:30 per day on 1-2 Oct (over).</t>
  </si>
  <si>
    <t xml:space="preserve">27:00</t>
  </si>
  <si>
    <t xml:space="preserve">WL-E06 Cross-month total hours - Vishal plreadonly</t>
  </si>
  <si>
    <t xml:space="preserve">30/11/2026</t>
  </si>
  <si>
    <t xml:space="preserve">04/12/2026</t>
  </si>
  <si>
    <t xml:space="preserve">Workload full coverage [Edge]. Scenario: Mon 30 Nov - Fri 4 Dec, 45 h total. Expected: 9:00/day; Nov gets 9 h, Dec gets 36 h.</t>
  </si>
  <si>
    <t xml:space="preserve">WL-E07 Resource cross-month - UIAutomation_Workload_Resource</t>
  </si>
  <si>
    <t xml:space="preserve">Workload full coverage [Edge]. Scenario: Resource as owner, crosses month end. Expected: 9:00/day 30 Nov - 4 Dec (optimal).</t>
  </si>
  <si>
    <t xml:space="preserve">UIAutomation_Workload_Resource-09:00 /day</t>
  </si>
  <si>
    <t xml:space="preserve">WL-E08 Multi-owner different hours - Vishal liteuser and Vishal customprofile</t>
  </si>
  <si>
    <t xml:space="preserve">Vishal liteuser, Vishal customprofile</t>
  </si>
  <si>
    <t xml:space="preserve">01/12/2026</t>
  </si>
  <si>
    <t xml:space="preserve">Workload full coverage [Edge]. Scenario: Two owners, different hrs/day. Expected: liteuser 6:00/day, customprofile 3:00/day on 1-4 Dec.</t>
  </si>
  <si>
    <t xml:space="preserve">36:00</t>
  </si>
  <si>
    <t xml:space="preserve">06:00,03:00</t>
  </si>
  <si>
    <t xml:space="preserve">Vishal liteuser-06:00 /day,Vishal customprofile-03:00 /day</t>
  </si>
  <si>
    <t xml:space="preserve">WL-E09 Multi-owner percent - Vishal workload, Vishal PLAdmin, vishal PL manager</t>
  </si>
  <si>
    <t xml:space="preserve">Vishal workload, Vishal PLAdmin, vishal PL manager</t>
  </si>
  <si>
    <t xml:space="preserve">Workload full coverage [Edge]. Scenario: Three owners, different %/day. Expected: workload 4:30, PLAdmin 2:15, PL manager 2:15 per day on 1-4 Dec.</t>
  </si>
  <si>
    <t xml:space="preserve">50,25,25</t>
  </si>
  <si>
    <t xml:space="preserve">Vishal workload-50 %/day,Vishal PLAdmin-25 %/day,vishal PL manager-25 %/day</t>
  </si>
  <si>
    <t xml:space="preserve">WL-E10 Unassigned task with hours</t>
  </si>
  <si>
    <t xml:space="preserve">Workload full coverage [Edge]. Scenario: No owner, 4:00/day. Expected: VERIFY: Unassigned User row shows 4:00/day 5-9 Oct (or 0 if hours are dropped without owner).</t>
  </si>
  <si>
    <t xml:space="preserve">20:00</t>
  </si>
  <si>
    <t xml:space="preserve">WL-E11 Unassigned task without hours</t>
  </si>
  <si>
    <t xml:space="preserve">Workload full coverage [Edge]. Scenario: No owner, no work. Expected: Unassigned User task count +1, 0 h.</t>
  </si>
  <si>
    <t xml:space="preserve">WL-E12 No dates task - Vishal workload</t>
  </si>
  <si>
    <t xml:space="preserve">Workload full coverage [Edge]. Scenario: Owner and 10 h total but no start/due date. Expected: Not shown on any date in the Workload Report.</t>
  </si>
  <si>
    <t xml:space="preserve">10:00</t>
  </si>
  <si>
    <t xml:space="preserve">Vishal workload-10:00</t>
  </si>
  <si>
    <t xml:space="preserve">WL-E13 Single Friday full day - Vishal liteuser</t>
  </si>
  <si>
    <t xml:space="preserve">Workload full coverage [Edge]. Scenario: Single working day. Expected: 9:00 on Fri 2 Oct (optimal).</t>
  </si>
  <si>
    <t xml:space="preserve">WL-E14 60 percent single day - UIAutomation_Workload_Resource</t>
  </si>
  <si>
    <t xml:space="preserve">Workload full coverage [Edge]. Scenario: Resource, %/day below 100. Expected: 5:24 on 1 Oct (under).</t>
  </si>
  <si>
    <t xml:space="preserve">05:24</t>
  </si>
  <si>
    <t xml:space="preserve">60</t>
  </si>
  <si>
    <t xml:space="preserve">UIAutomation_Workload_Resource-60 %/day</t>
  </si>
  <si>
    <t xml:space="preserve">WL-E15 Multi-owner same hours - vishal PL manager and Vishal plemployee</t>
  </si>
  <si>
    <t xml:space="preserve">vishal PL manager, Vishal plemployee</t>
  </si>
  <si>
    <t xml:space="preserve">Workload full coverage [Edge]. Scenario: Two owners, same hrs/day, single day. Expected: 4:30 each on Mon 30 Nov (under).</t>
  </si>
  <si>
    <t xml:space="preserve">04:30,04:30</t>
  </si>
  <si>
    <t xml:space="preserve">vishal PL manager-04:30 /day,Vishal plemployee-04:30 /day</t>
  </si>
  <si>
    <t xml:space="preserve">Workload Report vs expected - observed 08-10-2026 (All Users, Allocated Man Days, month periods)</t>
  </si>
  <si>
    <t xml:space="preserve">Expected = Monthly Expected (this project, previous import included). Report also contains other projects and UI1-T1, explained in the last column.</t>
  </si>
  <si>
    <t xml:space="preserve">Month</t>
  </si>
  <si>
    <t xml:space="preserve">User</t>
  </si>
  <si>
    <t xml:space="preserve">Report (man-days)</t>
  </si>
  <si>
    <t xml:space="preserve">Report (hrs)</t>
  </si>
  <si>
    <t xml:space="preserve">Expected (hrs)</t>
  </si>
  <si>
    <t xml:space="preserve">Delta (hrs)</t>
  </si>
  <si>
    <t xml:space="preserve">Result</t>
  </si>
  <si>
    <t xml:space="preserve">Explanation</t>
  </si>
  <si>
    <t xml:space="preserve">Oct 2026</t>
  </si>
  <si>
    <t xml:space="preserve">Unassigned</t>
  </si>
  <si>
    <t xml:space="preserve">-9 h FINDING F1 (WL-E05 150 %/day stored as 18:00 = 100 %).</t>
  </si>
  <si>
    <t xml:space="preserve">-22.5 h FINDING F1 (150 %/day capped to 100 %, Oct over week).</t>
  </si>
  <si>
    <t xml:space="preserve">+121 h UI1-T1 / other projects (pre-import 220 h - previous import 99 h); +8 h FINDING F2 (WL-E03 weekend-only task allocates 4 h on Sat 3 + Sun 4 Oct).</t>
  </si>
  <si>
    <t xml:space="preserve">+198 h other projects (pre-import 396 h - previous import 198 h); -22.5 h FINDING F1 (150 %/day capped to 100 %, Oct W2).</t>
  </si>
  <si>
    <t xml:space="preserve">Other projects (NI-6, NI-1) = +549 h (pre-import total 1044 h - previous import 495 h).</t>
  </si>
  <si>
    <t xml:space="preserve">Nov 2026</t>
  </si>
  <si>
    <t xml:space="preserve">-22.5 h FINDING F1 (150 %/day capped, Nov over week).</t>
  </si>
  <si>
    <t xml:space="preserve">+45 h: two NI-6 tasks at 4:30/day on 2-6 Nov (expanded row, verified).</t>
  </si>
  <si>
    <t xml:space="preserve">+22.5 h: other project tasks (not expanded - verify).</t>
  </si>
  <si>
    <t xml:space="preserve">Dec 2026</t>
  </si>
  <si>
    <t xml:space="preserve">-18 h FINDING F1 (150 %/day capped, Dec 28-31 over week, 4 days).</t>
  </si>
  <si>
    <t xml:space="preserve">+22.5 h: NI-6 task 4:30/day on 7-11 Dec (expanded row, verified).</t>
  </si>
  <si>
    <t xml:space="preserve">FINDINGS</t>
  </si>
  <si>
    <t xml:space="preserve">F1</t>
  </si>
  <si>
    <t xml:space="preserve">Import caps Work %/day at 100 %. WL-E05 (150 %/day, 2 days) was stored as Work Hours 18:00 instead of 27:00; every 150 %/day row lost 4.5 h/day. No warning in the import wizard.</t>
  </si>
  <si>
    <t xml:space="preserve">F2</t>
  </si>
  <si>
    <t xml:space="preserve">A task whose whole range is non-working days (WL-E03, Sat 3 - Sun 4 Oct, 4:00 hrs/day) is allocated 4 h on Saturday and Sunday (0.444d each) although business hours are Mon-Fri.</t>
  </si>
  <si>
    <t xml:space="preserve">F3</t>
  </si>
  <si>
    <t xml:space="preserve">Associated Team and Tags columns did not import (checked UI1-T114 and UI1-T15: both empty; file had UIAutomation_Workload_TeamA/B and wl-edge / wl-over). Custom fields, priority, billing, % completed, dates and work hours did import.</t>
  </si>
  <si>
    <t xml:space="preserve">F4</t>
  </si>
  <si>
    <t xml:space="preserve">Import creates a new task list even when one with the same name exists (second "Workload CV List" and second "General").</t>
  </si>
  <si>
    <t xml:space="preserve">F5</t>
  </si>
  <si>
    <t xml:space="preserve">Importer reads rows from EVERY sheet of the workbook (Scenario Matrix text appeared as statuses) - keep the import file to a single Tasks sheet.</t>
  </si>
  <si>
    <t xml:space="preserve">OK</t>
  </si>
  <si>
    <t xml:space="preserve">Unassigned task with hours (WL-E10) shows 4:00/day under Unassigned User; resource, read-only and lite users can own tasks; multi-owner hrs and % split correctly (WL-E08, WL-E09); cross-month and weekend-span totals split correctly (WL-E06, WL-E01).</t>
  </si>
  <si>
    <t xml:space="preserve">Workload full-coverage import - Q4 2026</t>
  </si>
  <si>
    <t xml:space="preserve">Portal / project</t>
  </si>
  <si>
    <t xml:space="preserve">customworkload / NI-2 UIAutomation_Workload_Project2</t>
  </si>
  <si>
    <t xml:space="preserve">Built</t>
  </si>
  <si>
    <t xml:space="preserve">2026-10-08</t>
  </si>
  <si>
    <t xml:space="preserve">SHEETS</t>
  </si>
  <si>
    <t xml:space="preserve">Tasks</t>
  </si>
  <si>
    <t xml:space="preserve">Copy of the import rows (the file to import is workload_full_coverage_import.xlsx, Tasks sheet only - Zoho imports rows from EVERY sheet, so never import this workbook). Same 38 columns as the original file, all text.</t>
  </si>
  <si>
    <t xml:space="preserve">Scenario Matrix</t>
  </si>
  <si>
    <t xml:space="preserve">Planned allocation state per user, month and week, plus the edge-case list.</t>
  </si>
  <si>
    <t xml:space="preserve">Assignment Calc</t>
  </si>
  <si>
    <t xml:space="preserve">One row per task-owner pair. Yellow cells are the settings to edit (availability, include previous import). Blue = values copied from the Tasks sheet / previous file.</t>
  </si>
  <si>
    <t xml:space="preserve">Daily Expected</t>
  </si>
  <si>
    <t xml:space="preserve">Expected allocated hours per user per day (1 Oct - 31 Dec 2026). Red &gt; availability, green = availability, amber under, grey weekend.</t>
  </si>
  <si>
    <t xml:space="preserve">Weekly Expected</t>
  </si>
  <si>
    <t xml:space="preserve">Per user per Mon-Sun week: allocated hrs, available hrs, %, state.</t>
  </si>
  <si>
    <t xml:space="preserve">Monthly Expected</t>
  </si>
  <si>
    <t xml:space="preserve">Per user per month: hrs, man-days, %, closed/cancelled hrs, day counts per state.</t>
  </si>
  <si>
    <t xml:space="preserve">COVERAGE</t>
  </si>
  <si>
    <t xml:space="preserve">Users</t>
  </si>
  <si>
    <t xml:space="preserve">All 7 portal users + the resource UIAutomation_Workload_Resource + Unassigned.</t>
  </si>
  <si>
    <t xml:space="preserve">Allocation states</t>
  </si>
  <si>
    <t xml:space="preserve">Every user gets Over, Optimal, Under and Unallocated weeks in each of Oct, Nov, Dec (rotated so users differ on the same day).</t>
  </si>
  <si>
    <t xml:space="preserve">Work units</t>
  </si>
  <si>
    <t xml:space="preserve">hrs/day, %/day and hrs (total) - all three appear for every user across the quarter.</t>
  </si>
  <si>
    <t xml:space="preserve">Spans / edges</t>
  </si>
  <si>
    <t xml:space="preserve">Weekend span, single day, weekend-only, zero hours, &gt;100 %, cross-month, resource owner, multi-owner (same / different hrs, %), unassigned with and without hours, no dates.</t>
  </si>
  <si>
    <t xml:space="preserve">Field values</t>
  </si>
  <si>
    <t xml:space="preserve">All 8 statuses, 4 priorities, 3 billing types, teams A/B/both/none, tags per state, 4 new task lists + Workload CV List, 3 custom-field value sets + blank.</t>
  </si>
  <si>
    <t xml:space="preserve">ASSUMPTIONS</t>
  </si>
  <si>
    <t xml:space="preserve">Availability</t>
  </si>
  <si>
    <t xml:space="preserve">Standard Business Hours: Mon-Fri 09:00-18:00 = 9 h/day for all 7 users, no holiday list (Setup &gt; Business Calendar, checked 08-10-2026). Resource assumed the same.</t>
  </si>
  <si>
    <t xml:space="preserve">Status handling</t>
  </si>
  <si>
    <t xml:space="preserve">Closed and Cancelled tasks are COUNTED (observed in the report on 08-10-2026). Monthly Expected also shows the value excluding them.</t>
  </si>
  <si>
    <t xml:space="preserve">Total hours (hrs)</t>
  </si>
  <si>
    <t xml:space="preserve">Spread evenly over the working days of the task range.</t>
  </si>
  <si>
    <t xml:space="preserve">Percent of the 9 h availability.</t>
  </si>
  <si>
    <t xml:space="preserve">Previous import</t>
  </si>
  <si>
    <t xml:space="preserve">The 12 tasks already imported (UI1-T2..T13) are included in the expected values when Assignment Calc!B2 = 1. UI1-T1 and tasks in other projects are NOT included - filter the report by project NI-2 and use the WL task lists.</t>
  </si>
  <si>
    <t xml:space="preserve">VERIFY rows</t>
  </si>
  <si>
    <t xml:space="preserve">WL-E03 (weekend-only) and WL-E10 (unassigned with hours) have uncertain product behaviour - check them rather than assert.</t>
  </si>
  <si>
    <t xml:space="preserve">IMPORT STEPS</t>
  </si>
  <si>
    <t xml:space="preserve">Add Vishal plreadonly, Vishal liteuser, Vishal customprofile and UIAutomation_Workload_Resource to the project first, otherwise their tasks import unassigned.</t>
  </si>
  <si>
    <t xml:space="preserve">Tasks &gt; ... &gt; Import Tasks &gt; XLS/XLSX, upload workload_full_coverage_import.xlsx (NOT this workbook).</t>
  </si>
  <si>
    <t xml:space="preserve">Select date format dd/MM/yyyy.</t>
  </si>
  <si>
    <t xml:space="preserve">Statuses map 1:1. Users: choose "Map the assigned XLS Users to project users".</t>
  </si>
  <si>
    <t xml:space="preserve">Verify with Daily/Weekly/Monthly Expected.</t>
  </si>
  <si>
    <t xml:space="preserve">Oct W1
05 Oct-09 Oct</t>
  </si>
  <si>
    <t xml:space="preserve">Oct W2
12 Oct-16 Oct</t>
  </si>
  <si>
    <t xml:space="preserve">Oct W3
19 Oct-23 Oct</t>
  </si>
  <si>
    <t xml:space="preserve">Oct W4
26 Oct-30 Oct</t>
  </si>
  <si>
    <t xml:space="preserve">Nov W1
02 Nov-06 Nov</t>
  </si>
  <si>
    <t xml:space="preserve">Nov W2
09 Nov-13 Nov</t>
  </si>
  <si>
    <t xml:space="preserve">Nov W3
16 Nov-20 Nov</t>
  </si>
  <si>
    <t xml:space="preserve">Nov W4
23 Nov-27 Nov</t>
  </si>
  <si>
    <t xml:space="preserve">Dec W1
07 Dec-11 Dec</t>
  </si>
  <si>
    <t xml:space="preserve">Dec W2
14 Dec-18 Dec</t>
  </si>
  <si>
    <t xml:space="preserve">Dec W3
21 Dec-25 Dec</t>
  </si>
  <si>
    <t xml:space="preserve">Dec W4
28 Dec-31 Dec</t>
  </si>
  <si>
    <t xml:space="preserve">Over-allocated
6:00/d + 4:30/d</t>
  </si>
  <si>
    <t xml:space="preserve">Optimally allocated
9:00/d</t>
  </si>
  <si>
    <t xml:space="preserve">Under-allocated
4:30/d</t>
  </si>
  <si>
    <t xml:space="preserve">Unallocated
no task</t>
  </si>
  <si>
    <t xml:space="preserve">Optimally allocated
total 9 h/d</t>
  </si>
  <si>
    <t xml:space="preserve">Under-allocated
8:30/d</t>
  </si>
  <si>
    <t xml:space="preserve">Unallocated
task with 0:00</t>
  </si>
  <si>
    <t xml:space="preserve">Over-allocated
5:00/d + 50 %/d</t>
  </si>
  <si>
    <t xml:space="preserve">Under-allocated
total 3 h/d</t>
  </si>
  <si>
    <t xml:space="preserve">Over-allocated
total 12 h/d</t>
  </si>
  <si>
    <t xml:space="preserve">Optimally allocated
total 4.5 h/d + 4:30/d</t>
  </si>
  <si>
    <t xml:space="preserve">Optimally allocated
100 %/d</t>
  </si>
  <si>
    <t xml:space="preserve">Under-allocated
25 %/d</t>
  </si>
  <si>
    <t xml:space="preserve">Over-allocated
150 %/d</t>
  </si>
  <si>
    <t xml:space="preserve">Edge case</t>
  </si>
  <si>
    <t xml:space="preserve">Owners</t>
  </si>
  <si>
    <t xml:space="preserve">Unit</t>
  </si>
  <si>
    <t xml:space="preserve">Start</t>
  </si>
  <si>
    <t xml:space="preserve">Due</t>
  </si>
  <si>
    <t xml:space="preserve">Scenario</t>
  </si>
  <si>
    <t xml:space="preserve">Expected</t>
  </si>
  <si>
    <t xml:space="preserve">Vishal workload (18)</t>
  </si>
  <si>
    <t xml:space="preserve">Thu-Sun span, 18 h total spread over working days only</t>
  </si>
  <si>
    <t xml:space="preserve">9:00 on Thu 1 Oct and Fri 2 Oct; 0 on Sat/Sun</t>
  </si>
  <si>
    <t xml:space="preserve">Vishal PLAdmin (12)</t>
  </si>
  <si>
    <t xml:space="preserve">Single day task, 12 h total</t>
  </si>
  <si>
    <t xml:space="preserve">12:00 on 1 Oct = 133.33 % (over)</t>
  </si>
  <si>
    <t xml:space="preserve">vishal PL manager (4)</t>
  </si>
  <si>
    <t xml:space="preserve">Starts and ends on non-working days (Sat-Sun)</t>
  </si>
  <si>
    <t xml:space="preserve">VERIFY: 0 h expected (no working days in range)</t>
  </si>
  <si>
    <t xml:space="preserve">Vishal plemployee (0)</t>
  </si>
  <si>
    <t xml:space="preserve">Owner set, work 00:00</t>
  </si>
  <si>
    <t xml:space="preserve">Task listed under user, 0 h allocated</t>
  </si>
  <si>
    <t xml:space="preserve">Vishal customprofile (150)</t>
  </si>
  <si>
    <t xml:space="preserve">%/day above 100</t>
  </si>
  <si>
    <t xml:space="preserve">13:30 per day on 1-2 Oct (over)</t>
  </si>
  <si>
    <t xml:space="preserve">Vishal plreadonly (45)</t>
  </si>
  <si>
    <t xml:space="preserve">Mon 30 Nov - Fri 4 Dec, 45 h total</t>
  </si>
  <si>
    <t xml:space="preserve">9:00/day; Nov gets 9 h, Dec gets 36 h</t>
  </si>
  <si>
    <t xml:space="preserve">UIAutomation_Workload_Resource (9)</t>
  </si>
  <si>
    <t xml:space="preserve">Resource as owner, crosses month end</t>
  </si>
  <si>
    <t xml:space="preserve">9:00/day 30 Nov - 4 Dec (optimal)</t>
  </si>
  <si>
    <t xml:space="preserve">Vishal liteuser (6), Vishal customprofile (3)</t>
  </si>
  <si>
    <t xml:space="preserve">Two owners, different hrs/day</t>
  </si>
  <si>
    <t xml:space="preserve">liteuser 6:00/day, customprofile 3:00/day on 1-4 Dec</t>
  </si>
  <si>
    <t xml:space="preserve">Vishal workload (50), Vishal PLAdmin (25), vishal PL manager (25)</t>
  </si>
  <si>
    <t xml:space="preserve">Three owners, different %/day</t>
  </si>
  <si>
    <t xml:space="preserve">workload 4:30, PLAdmin 2:15, PL manager 2:15 per day on 1-4 Dec</t>
  </si>
  <si>
    <t xml:space="preserve">Unassigned (4)</t>
  </si>
  <si>
    <t xml:space="preserve">No owner, 4:00/day</t>
  </si>
  <si>
    <t xml:space="preserve">VERIFY: Unassigned User row shows 4:00/day 5-9 Oct (or 0 if hours are dropped without owner)</t>
  </si>
  <si>
    <t xml:space="preserve">Unassigned (0)</t>
  </si>
  <si>
    <t xml:space="preserve">No owner, no work</t>
  </si>
  <si>
    <t xml:space="preserve">Unassigned User task count +1, 0 h</t>
  </si>
  <si>
    <t xml:space="preserve">Vishal workload (10)</t>
  </si>
  <si>
    <t xml:space="preserve">Owner and 10 h total but no start/due date</t>
  </si>
  <si>
    <t xml:space="preserve">Not shown on any date in the Workload Report</t>
  </si>
  <si>
    <t xml:space="preserve">Vishal liteuser (9)</t>
  </si>
  <si>
    <t xml:space="preserve">Single working day</t>
  </si>
  <si>
    <t xml:space="preserve">9:00 on Fri 2 Oct (optimal)</t>
  </si>
  <si>
    <t xml:space="preserve">UIAutomation_Workload_Resource (60)</t>
  </si>
  <si>
    <t xml:space="preserve">Resource, %/day below 100</t>
  </si>
  <si>
    <t xml:space="preserve">5:24 on 1 Oct (under)</t>
  </si>
  <si>
    <t xml:space="preserve">vishal PL manager (4.5), Vishal plemployee (4.5)</t>
  </si>
  <si>
    <t xml:space="preserve">Two owners, same hrs/day, single day</t>
  </si>
  <si>
    <t xml:space="preserve">4:30 each on Mon 30 Nov (under)</t>
  </si>
  <si>
    <t xml:space="preserve">Availability (hrs/day)</t>
  </si>
  <si>
    <t xml:space="preserve">Source: Setup &gt; Business Calendar &gt; Standard Business Hours (Mon-Fri 09:00-18:00), checked 08-10-2026</t>
  </si>
  <si>
    <t xml:space="preserve">Include previous import (1 = yes, 0 = no)</t>
  </si>
  <si>
    <t xml:space="preserve">Previous import = the 12 tasks from the original file (UI1-T2..UI1-T13)</t>
  </si>
  <si>
    <t xml:space="preserve">Source</t>
  </si>
  <si>
    <t xml:space="preserve">Tasks row</t>
  </si>
  <si>
    <t xml:space="preserve">Task name</t>
  </si>
  <si>
    <t xml:space="preserve">Owner (report row)</t>
  </si>
  <si>
    <t xml:space="preserve">Status</t>
  </si>
  <si>
    <t xml:space="preserve">Owner value</t>
  </si>
  <si>
    <t xml:space="preserve">Working days</t>
  </si>
  <si>
    <t xml:space="preserve">Hrs / working day</t>
  </si>
  <si>
    <t xml:space="preserve">Include</t>
  </si>
  <si>
    <t xml:space="preserve">Closed/Cancelled</t>
  </si>
  <si>
    <t xml:space="preserve">Hours in range</t>
  </si>
  <si>
    <t xml:space="preserve">New file</t>
  </si>
  <si>
    <t xml:space="preserve">CV Over-allocated 1 of 3 - Vishal workload</t>
  </si>
  <si>
    <t xml:space="preserve">CV Over-allocated 2 of 3 - Vishal workload</t>
  </si>
  <si>
    <t xml:space="preserve">CV Over-allocated 3 of 3 - Vishal workload</t>
  </si>
  <si>
    <t xml:space="preserve">CV Optimally allocated 1 of 2 - Vishal PLAdmin</t>
  </si>
  <si>
    <t xml:space="preserve">CV Optimally allocated 2 of 2 - Vishal PLAdmin</t>
  </si>
  <si>
    <t xml:space="preserve">CV Under-allocated - vishal PL manager</t>
  </si>
  <si>
    <t xml:space="preserve">CV Closed task - Vishal workload</t>
  </si>
  <si>
    <t xml:space="preserve">CV Cancelled task - Vishal workload</t>
  </si>
  <si>
    <t xml:space="preserve">CV Unassigned task</t>
  </si>
  <si>
    <t xml:space="preserve">CV Unallocated this month, allocated next month - Vishal plemployee</t>
  </si>
  <si>
    <t xml:space="preserve">CV Multi-owner task next month - Vishal workload and Vishal plemployee</t>
  </si>
  <si>
    <t xml:space="preserve">CV December task - vishal PL manager</t>
  </si>
  <si>
    <t xml:space="preserve">Expected allocated hours per day - formulas over 'Assignment Calc'</t>
  </si>
  <si>
    <t xml:space="preserve">Thu</t>
  </si>
  <si>
    <t xml:space="preserve">Fri</t>
  </si>
  <si>
    <t xml:space="preserve">Sat</t>
  </si>
  <si>
    <t xml:space="preserve">Sun</t>
  </si>
  <si>
    <t xml:space="preserve">Mon</t>
  </si>
  <si>
    <t xml:space="preserve">Tue</t>
  </si>
  <si>
    <t xml:space="preserve">Wed</t>
  </si>
  <si>
    <t xml:space="preserve">User / date</t>
  </si>
  <si>
    <t xml:space="preserve">Quarter total</t>
  </si>
  <si>
    <t xml:space="preserve">Of which Closed / Cancelled hours per day - formulas over 'Assignment Calc'</t>
  </si>
  <si>
    <t xml:space="preserve">Week start (Mon)</t>
  </si>
  <si>
    <t xml:space="preserve">Week end (Sun)</t>
  </si>
  <si>
    <t xml:space="preserve">Working days in Q4</t>
  </si>
  <si>
    <t xml:space="preserve">Allocated hrs</t>
  </si>
  <si>
    <t xml:space="preserve">Available hrs</t>
  </si>
  <si>
    <t xml:space="preserve">Allocation %</t>
  </si>
  <si>
    <t xml:space="preserve">State</t>
  </si>
  <si>
    <t xml:space="preserve">Closed/Cancelled hrs</t>
  </si>
  <si>
    <t xml:space="preserve">Note: a week is mixed when daily states differ (e.g. an edge task on 1-2 Oct). State uses the weekly total vs weekly availability, which is how the Weeks view buckets data.</t>
  </si>
  <si>
    <t xml:space="preserve">From</t>
  </si>
  <si>
    <t xml:space="preserve">To</t>
  </si>
  <si>
    <t xml:space="preserve">Allocated man-days</t>
  </si>
  <si>
    <t xml:space="preserve">State (month total)</t>
  </si>
  <si>
    <t xml:space="preserve">Allocated excl. Closed/Cancelled</t>
  </si>
  <si>
    <t xml:space="preserve">Over days</t>
  </si>
  <si>
    <t xml:space="preserve">Optimal days</t>
  </si>
  <si>
    <t xml:space="preserve">Under days</t>
  </si>
  <si>
    <t xml:space="preserve">Unallocated working days</t>
  </si>
  <si>
    <t xml:space="preserve">Q4 2026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</si>
</sst>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0.00"/>
    <numFmt numFmtId="167" formatCode="dd\-mm\-yyyy"/>
    <numFmt numFmtId="168" formatCode="dd\-mmm"/>
    <numFmt numFmtId="169" formatCode="0.00;\-0.00;\-"/>
    <numFmt numFmtId="170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4B6B6"/>
        <bgColor rgb="FFD9D9D9"/>
      </patternFill>
    </fill>
    <fill>
      <patternFill patternType="solid">
        <fgColor rgb="FFB7E1B5"/>
        <bgColor rgb="FFD9D9D9"/>
      </patternFill>
    </fill>
    <fill>
      <patternFill patternType="solid">
        <fgColor rgb="FFFFE29A"/>
        <bgColor rgb="FFFFFF99"/>
      </patternFill>
    </fill>
    <fill>
      <patternFill patternType="solid">
        <fgColor rgb="FFD9D9D9"/>
        <bgColor rgb="FFB7E1B5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>
          <bgColor rgb="FFB7E1B5"/>
        </patternFill>
      </fill>
    </dxf>
    <dxf>
      <fill>
        <patternFill>
          <bgColor rgb="FFF4B6B6"/>
        </patternFill>
      </fill>
    </dxf>
    <dxf>
      <fill>
        <patternFill>
          <bgColor rgb="FFFFE29A"/>
        </patternFill>
      </fill>
    </dxf>
    <dxf>
      <fill>
        <patternFill>
          <bgColor rgb="FFD9D9D9"/>
        </patternFill>
      </fill>
    </dxf>
    <dxf>
      <fill>
        <patternFill>
          <bgColor rgb="FFF4B6B6"/>
        </patternFill>
      </fill>
    </dxf>
    <dxf>
      <fill>
        <patternFill>
          <bgColor rgb="FFB7E1B5"/>
        </patternFill>
      </fill>
    </dxf>
    <dxf>
      <fill>
        <patternFill>
          <bgColor rgb="FFFFE29A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7E1B5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29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E1B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29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44"/>
    <col collapsed="false" customWidth="true" hidden="false" outlineLevel="0" max="3" min="3" style="1" width="14"/>
    <col collapsed="false" customWidth="true" hidden="false" outlineLevel="0" max="4" min="4" style="1" width="40"/>
    <col collapsed="false" customWidth="true" hidden="false" outlineLevel="0" max="5" min="5" style="1" width="14"/>
    <col collapsed="false" customWidth="true" hidden="false" outlineLevel="0" max="7" min="6" style="1" width="12"/>
    <col collapsed="false" customWidth="true" hidden="false" outlineLevel="0" max="8" min="8" style="1" width="9"/>
    <col collapsed="false" customWidth="true" hidden="false" outlineLevel="0" max="9" min="9" style="1" width="12"/>
    <col collapsed="false" customWidth="true" hidden="false" outlineLevel="0" max="10" min="10" style="1" width="9"/>
    <col collapsed="false" customWidth="true" hidden="false" outlineLevel="0" max="11" min="11" style="1" width="11"/>
    <col collapsed="false" customWidth="true" hidden="false" outlineLevel="0" max="12" min="12" style="1" width="70"/>
    <col collapsed="false" customWidth="true" hidden="false" outlineLevel="0" max="13" min="13" style="1" width="11"/>
    <col collapsed="false" customWidth="true" hidden="false" outlineLevel="0" max="14" min="14" style="1" width="16"/>
    <col collapsed="false" customWidth="true" hidden="false" outlineLevel="0" max="15" min="15" style="1" width="13"/>
    <col collapsed="false" customWidth="true" hidden="false" outlineLevel="0" max="16" min="16" style="1" width="60"/>
    <col collapsed="false" customWidth="true" hidden="false" outlineLevel="0" max="17" min="17" style="1" width="13"/>
    <col collapsed="false" customWidth="true" hidden="false" outlineLevel="0" max="18" min="18" style="1" width="1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customFormat="false" ht="15" hidden="false" customHeight="true" outlineLevel="0" collapsed="false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customFormat="false" ht="15" hidden="false" customHeight="true" outlineLevel="0" collapsed="false">
      <c r="A3" s="3" t="s">
        <v>56</v>
      </c>
      <c r="B3" s="3" t="s">
        <v>39</v>
      </c>
      <c r="C3" s="3" t="s">
        <v>57</v>
      </c>
      <c r="D3" s="3" t="s">
        <v>58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59</v>
      </c>
      <c r="K3" s="3" t="s">
        <v>60</v>
      </c>
      <c r="L3" s="3" t="s">
        <v>49</v>
      </c>
      <c r="M3" s="3" t="s">
        <v>61</v>
      </c>
      <c r="N3" s="3" t="s">
        <v>62</v>
      </c>
      <c r="O3" s="3" t="s">
        <v>52</v>
      </c>
      <c r="P3" s="3" t="s">
        <v>63</v>
      </c>
      <c r="Q3" s="3" t="s">
        <v>64</v>
      </c>
      <c r="R3" s="3" t="s">
        <v>55</v>
      </c>
      <c r="S3" s="3" t="s">
        <v>65</v>
      </c>
      <c r="T3" s="3" t="s">
        <v>39</v>
      </c>
      <c r="U3" s="3" t="s">
        <v>39</v>
      </c>
      <c r="V3" s="3" t="s">
        <v>39</v>
      </c>
      <c r="W3" s="3" t="s">
        <v>66</v>
      </c>
      <c r="X3" s="3" t="s">
        <v>66</v>
      </c>
      <c r="Y3" s="3" t="s">
        <v>67</v>
      </c>
      <c r="Z3" s="3" t="s">
        <v>68</v>
      </c>
      <c r="AA3" s="3" t="s">
        <v>69</v>
      </c>
      <c r="AB3" s="3" t="s">
        <v>60</v>
      </c>
      <c r="AC3" s="3" t="s">
        <v>70</v>
      </c>
      <c r="AD3" s="3" t="s">
        <v>71</v>
      </c>
      <c r="AE3" s="3" t="s">
        <v>72</v>
      </c>
      <c r="AF3" s="3" t="s">
        <v>73</v>
      </c>
      <c r="AG3" s="3" t="s">
        <v>74</v>
      </c>
      <c r="AH3" s="3" t="s">
        <v>75</v>
      </c>
      <c r="AI3" s="3" t="s">
        <v>76</v>
      </c>
      <c r="AJ3" s="3" t="s">
        <v>77</v>
      </c>
      <c r="AK3" s="4" t="s">
        <v>78</v>
      </c>
      <c r="AL3" s="3" t="s">
        <v>79</v>
      </c>
    </row>
    <row r="4" customFormat="false" ht="15" hidden="false" customHeight="true" outlineLevel="0" collapsed="false">
      <c r="A4" s="3" t="s">
        <v>80</v>
      </c>
      <c r="B4" s="3" t="s">
        <v>39</v>
      </c>
      <c r="C4" s="3" t="s">
        <v>81</v>
      </c>
      <c r="D4" s="3" t="s">
        <v>82</v>
      </c>
      <c r="E4" s="3" t="s">
        <v>83</v>
      </c>
      <c r="F4" s="3" t="s">
        <v>84</v>
      </c>
      <c r="G4" s="3" t="s">
        <v>85</v>
      </c>
      <c r="H4" s="3" t="s">
        <v>45</v>
      </c>
      <c r="I4" s="3" t="s">
        <v>46</v>
      </c>
      <c r="J4" s="3" t="s">
        <v>86</v>
      </c>
      <c r="K4" s="3" t="s">
        <v>87</v>
      </c>
      <c r="L4" s="3" t="s">
        <v>88</v>
      </c>
      <c r="M4" s="3" t="s">
        <v>89</v>
      </c>
      <c r="N4" s="3" t="s">
        <v>90</v>
      </c>
      <c r="O4" s="3" t="s">
        <v>52</v>
      </c>
      <c r="P4" s="3" t="s">
        <v>91</v>
      </c>
      <c r="Q4" s="3" t="s">
        <v>92</v>
      </c>
      <c r="R4" s="3" t="s">
        <v>55</v>
      </c>
      <c r="S4" s="3" t="s">
        <v>93</v>
      </c>
      <c r="T4" s="3" t="s">
        <v>94</v>
      </c>
      <c r="U4" s="3" t="s">
        <v>94</v>
      </c>
      <c r="V4" s="3" t="s">
        <v>94</v>
      </c>
      <c r="W4" s="3" t="s">
        <v>94</v>
      </c>
      <c r="X4" s="3" t="s">
        <v>94</v>
      </c>
      <c r="Y4" s="3" t="s">
        <v>95</v>
      </c>
      <c r="Z4" s="3" t="s">
        <v>96</v>
      </c>
      <c r="AA4" s="3" t="s">
        <v>97</v>
      </c>
      <c r="AB4" s="3" t="s">
        <v>98</v>
      </c>
      <c r="AC4" s="3" t="s">
        <v>99</v>
      </c>
      <c r="AD4" s="3" t="s">
        <v>100</v>
      </c>
      <c r="AE4" s="3" t="s">
        <v>101</v>
      </c>
      <c r="AF4" s="3" t="s">
        <v>102</v>
      </c>
      <c r="AG4" s="3" t="s">
        <v>103</v>
      </c>
      <c r="AH4" s="3" t="s">
        <v>104</v>
      </c>
      <c r="AI4" s="3" t="s">
        <v>105</v>
      </c>
      <c r="AJ4" s="3" t="s">
        <v>106</v>
      </c>
      <c r="AK4" s="4" t="s">
        <v>107</v>
      </c>
      <c r="AL4" s="3" t="s">
        <v>108</v>
      </c>
    </row>
    <row r="5" customFormat="false" ht="15" hidden="false" customHeight="true" outlineLevel="0" collapsed="false">
      <c r="A5" s="3" t="s">
        <v>109</v>
      </c>
      <c r="B5" s="3" t="s">
        <v>39</v>
      </c>
      <c r="C5" s="3" t="s">
        <v>110</v>
      </c>
      <c r="D5" s="3"/>
      <c r="E5" s="3" t="s">
        <v>111</v>
      </c>
      <c r="F5" s="3" t="s">
        <v>112</v>
      </c>
      <c r="G5" s="3" t="s">
        <v>113</v>
      </c>
      <c r="H5" s="3" t="s">
        <v>45</v>
      </c>
      <c r="I5" s="3" t="s">
        <v>46</v>
      </c>
      <c r="J5" s="3" t="s">
        <v>92</v>
      </c>
      <c r="K5" s="3" t="s">
        <v>114</v>
      </c>
      <c r="L5" s="3" t="s">
        <v>115</v>
      </c>
      <c r="M5" s="3" t="s">
        <v>61</v>
      </c>
      <c r="N5" s="3" t="s">
        <v>62</v>
      </c>
      <c r="O5" s="3" t="s">
        <v>52</v>
      </c>
      <c r="P5" s="3" t="s">
        <v>63</v>
      </c>
      <c r="Q5" s="3" t="s">
        <v>54</v>
      </c>
      <c r="R5" s="3" t="s">
        <v>55</v>
      </c>
      <c r="S5" s="3" t="s">
        <v>116</v>
      </c>
      <c r="T5" s="3" t="s">
        <v>117</v>
      </c>
      <c r="U5" s="3" t="s">
        <v>117</v>
      </c>
      <c r="V5" s="3" t="s">
        <v>117</v>
      </c>
      <c r="W5" s="3" t="s">
        <v>66</v>
      </c>
      <c r="X5" s="3" t="s">
        <v>66</v>
      </c>
      <c r="Y5" s="3" t="s">
        <v>118</v>
      </c>
      <c r="Z5" s="3" t="s">
        <v>119</v>
      </c>
      <c r="AA5" s="3" t="s">
        <v>120</v>
      </c>
      <c r="AB5" s="3" t="s">
        <v>121</v>
      </c>
      <c r="AC5" s="3" t="s">
        <v>122</v>
      </c>
      <c r="AD5" s="3" t="s">
        <v>123</v>
      </c>
      <c r="AE5" s="3" t="s">
        <v>72</v>
      </c>
      <c r="AF5" s="3" t="s">
        <v>124</v>
      </c>
      <c r="AG5" s="3" t="s">
        <v>125</v>
      </c>
      <c r="AH5" s="3" t="s">
        <v>126</v>
      </c>
      <c r="AI5" s="3" t="s">
        <v>127</v>
      </c>
      <c r="AJ5" s="3" t="s">
        <v>128</v>
      </c>
      <c r="AK5" s="4" t="s">
        <v>129</v>
      </c>
      <c r="AL5" s="3" t="s">
        <v>130</v>
      </c>
    </row>
    <row r="6" customFormat="false" ht="15" hidden="false" customHeight="true" outlineLevel="0" collapsed="false">
      <c r="A6" s="3" t="s">
        <v>131</v>
      </c>
      <c r="B6" s="3" t="s">
        <v>39</v>
      </c>
      <c r="C6" s="3" t="s">
        <v>132</v>
      </c>
      <c r="D6" s="3" t="s">
        <v>41</v>
      </c>
      <c r="E6" s="3" t="s">
        <v>83</v>
      </c>
      <c r="F6" s="3" t="s">
        <v>133</v>
      </c>
      <c r="G6" s="3" t="s">
        <v>134</v>
      </c>
      <c r="H6" s="3" t="s">
        <v>45</v>
      </c>
      <c r="I6" s="3" t="s">
        <v>46</v>
      </c>
      <c r="J6" s="3" t="s">
        <v>47</v>
      </c>
      <c r="K6" s="3" t="s">
        <v>135</v>
      </c>
      <c r="L6" s="3" t="s">
        <v>136</v>
      </c>
      <c r="M6" s="3" t="s">
        <v>89</v>
      </c>
      <c r="N6" s="3" t="s">
        <v>89</v>
      </c>
      <c r="O6" s="3" t="s">
        <v>137</v>
      </c>
      <c r="P6" s="3" t="s">
        <v>138</v>
      </c>
      <c r="Q6" s="3" t="s">
        <v>64</v>
      </c>
      <c r="R6" s="3" t="s">
        <v>139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customFormat="false" ht="15" hidden="false" customHeight="true" outlineLevel="0" collapsed="false">
      <c r="A7" s="3" t="s">
        <v>140</v>
      </c>
      <c r="B7" s="3" t="s">
        <v>39</v>
      </c>
      <c r="C7" s="3" t="s">
        <v>141</v>
      </c>
      <c r="D7" s="3" t="s">
        <v>58</v>
      </c>
      <c r="E7" s="3" t="s">
        <v>111</v>
      </c>
      <c r="F7" s="3" t="s">
        <v>142</v>
      </c>
      <c r="G7" s="3" t="s">
        <v>143</v>
      </c>
      <c r="H7" s="3" t="s">
        <v>45</v>
      </c>
      <c r="I7" s="3" t="s">
        <v>46</v>
      </c>
      <c r="J7" s="3" t="s">
        <v>59</v>
      </c>
      <c r="K7" s="3" t="s">
        <v>144</v>
      </c>
      <c r="L7" s="3" t="s">
        <v>145</v>
      </c>
      <c r="M7" s="3" t="s">
        <v>146</v>
      </c>
      <c r="N7" s="3" t="s">
        <v>147</v>
      </c>
      <c r="O7" s="3" t="s">
        <v>52</v>
      </c>
      <c r="P7" s="3" t="s">
        <v>148</v>
      </c>
      <c r="Q7" s="3" t="s">
        <v>92</v>
      </c>
      <c r="R7" s="3" t="s">
        <v>139</v>
      </c>
      <c r="S7" s="3" t="s">
        <v>65</v>
      </c>
      <c r="T7" s="3" t="s">
        <v>39</v>
      </c>
      <c r="U7" s="3" t="s">
        <v>39</v>
      </c>
      <c r="V7" s="3" t="s">
        <v>39</v>
      </c>
      <c r="W7" s="3" t="s">
        <v>66</v>
      </c>
      <c r="X7" s="3" t="s">
        <v>66</v>
      </c>
      <c r="Y7" s="3" t="s">
        <v>67</v>
      </c>
      <c r="Z7" s="3" t="s">
        <v>68</v>
      </c>
      <c r="AA7" s="3" t="s">
        <v>69</v>
      </c>
      <c r="AB7" s="3" t="s">
        <v>60</v>
      </c>
      <c r="AC7" s="3" t="s">
        <v>70</v>
      </c>
      <c r="AD7" s="3" t="s">
        <v>71</v>
      </c>
      <c r="AE7" s="3" t="s">
        <v>72</v>
      </c>
      <c r="AF7" s="3" t="s">
        <v>73</v>
      </c>
      <c r="AG7" s="3" t="s">
        <v>74</v>
      </c>
      <c r="AH7" s="3" t="s">
        <v>75</v>
      </c>
      <c r="AI7" s="3" t="s">
        <v>76</v>
      </c>
      <c r="AJ7" s="3" t="s">
        <v>77</v>
      </c>
      <c r="AK7" s="4" t="s">
        <v>78</v>
      </c>
      <c r="AL7" s="3" t="s">
        <v>79</v>
      </c>
    </row>
    <row r="8" customFormat="false" ht="15" hidden="false" customHeight="true" outlineLevel="0" collapsed="false">
      <c r="A8" s="3" t="s">
        <v>149</v>
      </c>
      <c r="B8" s="3" t="s">
        <v>39</v>
      </c>
      <c r="C8" s="3" t="s">
        <v>150</v>
      </c>
      <c r="D8" s="3" t="s">
        <v>82</v>
      </c>
      <c r="E8" s="3" t="s">
        <v>151</v>
      </c>
      <c r="F8" s="3" t="s">
        <v>152</v>
      </c>
      <c r="G8" s="3" t="s">
        <v>153</v>
      </c>
      <c r="H8" s="3" t="s">
        <v>45</v>
      </c>
      <c r="I8" s="3" t="s">
        <v>46</v>
      </c>
      <c r="J8" s="3" t="s">
        <v>86</v>
      </c>
      <c r="K8" s="3" t="s">
        <v>154</v>
      </c>
      <c r="L8" s="3" t="s">
        <v>155</v>
      </c>
      <c r="M8" s="3" t="s">
        <v>156</v>
      </c>
      <c r="N8" s="3" t="s">
        <v>156</v>
      </c>
      <c r="O8" s="3" t="s">
        <v>52</v>
      </c>
      <c r="P8" s="3" t="s">
        <v>157</v>
      </c>
      <c r="Q8" s="3" t="s">
        <v>54</v>
      </c>
      <c r="R8" s="3" t="s">
        <v>158</v>
      </c>
      <c r="S8" s="3" t="s">
        <v>93</v>
      </c>
      <c r="T8" s="3" t="s">
        <v>94</v>
      </c>
      <c r="U8" s="3" t="s">
        <v>94</v>
      </c>
      <c r="V8" s="3" t="s">
        <v>94</v>
      </c>
      <c r="W8" s="3" t="s">
        <v>94</v>
      </c>
      <c r="X8" s="3" t="s">
        <v>94</v>
      </c>
      <c r="Y8" s="3" t="s">
        <v>95</v>
      </c>
      <c r="Z8" s="3" t="s">
        <v>96</v>
      </c>
      <c r="AA8" s="3" t="s">
        <v>97</v>
      </c>
      <c r="AB8" s="3" t="s">
        <v>98</v>
      </c>
      <c r="AC8" s="3" t="s">
        <v>99</v>
      </c>
      <c r="AD8" s="3" t="s">
        <v>100</v>
      </c>
      <c r="AE8" s="3" t="s">
        <v>101</v>
      </c>
      <c r="AF8" s="3" t="s">
        <v>102</v>
      </c>
      <c r="AG8" s="3" t="s">
        <v>103</v>
      </c>
      <c r="AH8" s="3" t="s">
        <v>104</v>
      </c>
      <c r="AI8" s="3" t="s">
        <v>105</v>
      </c>
      <c r="AJ8" s="3" t="s">
        <v>106</v>
      </c>
      <c r="AK8" s="4" t="s">
        <v>107</v>
      </c>
      <c r="AL8" s="3" t="s">
        <v>108</v>
      </c>
    </row>
    <row r="9" customFormat="false" ht="15" hidden="false" customHeight="true" outlineLevel="0" collapsed="false">
      <c r="A9" s="3" t="s">
        <v>159</v>
      </c>
      <c r="B9" s="3" t="s">
        <v>39</v>
      </c>
      <c r="C9" s="3" t="s">
        <v>160</v>
      </c>
      <c r="D9" s="3"/>
      <c r="E9" s="3" t="s">
        <v>42</v>
      </c>
      <c r="F9" s="3" t="s">
        <v>161</v>
      </c>
      <c r="G9" s="3" t="s">
        <v>162</v>
      </c>
      <c r="H9" s="3" t="s">
        <v>45</v>
      </c>
      <c r="I9" s="3" t="s">
        <v>46</v>
      </c>
      <c r="J9" s="3" t="s">
        <v>92</v>
      </c>
      <c r="K9" s="3" t="s">
        <v>48</v>
      </c>
      <c r="L9" s="3" t="s">
        <v>163</v>
      </c>
      <c r="M9" s="3" t="s">
        <v>164</v>
      </c>
      <c r="N9" s="3" t="s">
        <v>165</v>
      </c>
      <c r="O9" s="3" t="s">
        <v>52</v>
      </c>
      <c r="P9" s="3" t="s">
        <v>166</v>
      </c>
      <c r="Q9" s="3" t="s">
        <v>64</v>
      </c>
      <c r="R9" s="3" t="s">
        <v>139</v>
      </c>
      <c r="S9" s="3" t="s">
        <v>116</v>
      </c>
      <c r="T9" s="3" t="s">
        <v>117</v>
      </c>
      <c r="U9" s="3" t="s">
        <v>117</v>
      </c>
      <c r="V9" s="3" t="s">
        <v>117</v>
      </c>
      <c r="W9" s="3" t="s">
        <v>66</v>
      </c>
      <c r="X9" s="3" t="s">
        <v>66</v>
      </c>
      <c r="Y9" s="3" t="s">
        <v>118</v>
      </c>
      <c r="Z9" s="3" t="s">
        <v>119</v>
      </c>
      <c r="AA9" s="3" t="s">
        <v>120</v>
      </c>
      <c r="AB9" s="3" t="s">
        <v>121</v>
      </c>
      <c r="AC9" s="3" t="s">
        <v>122</v>
      </c>
      <c r="AD9" s="3" t="s">
        <v>123</v>
      </c>
      <c r="AE9" s="3" t="s">
        <v>72</v>
      </c>
      <c r="AF9" s="3" t="s">
        <v>124</v>
      </c>
      <c r="AG9" s="3" t="s">
        <v>125</v>
      </c>
      <c r="AH9" s="3" t="s">
        <v>126</v>
      </c>
      <c r="AI9" s="3" t="s">
        <v>127</v>
      </c>
      <c r="AJ9" s="3" t="s">
        <v>128</v>
      </c>
      <c r="AK9" s="4" t="s">
        <v>129</v>
      </c>
      <c r="AL9" s="3" t="s">
        <v>130</v>
      </c>
    </row>
    <row r="10" customFormat="false" ht="15" hidden="false" customHeight="true" outlineLevel="0" collapsed="false">
      <c r="A10" s="3" t="s">
        <v>167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161</v>
      </c>
      <c r="G10" s="3" t="s">
        <v>162</v>
      </c>
      <c r="H10" s="3" t="s">
        <v>45</v>
      </c>
      <c r="I10" s="3" t="s">
        <v>46</v>
      </c>
      <c r="J10" s="3" t="s">
        <v>47</v>
      </c>
      <c r="K10" s="3" t="s">
        <v>87</v>
      </c>
      <c r="L10" s="3" t="s">
        <v>163</v>
      </c>
      <c r="M10" s="3" t="s">
        <v>61</v>
      </c>
      <c r="N10" s="3" t="s">
        <v>114</v>
      </c>
      <c r="O10" s="3" t="s">
        <v>168</v>
      </c>
      <c r="P10" s="3" t="s">
        <v>169</v>
      </c>
      <c r="Q10" s="3" t="s">
        <v>92</v>
      </c>
      <c r="R10" s="3" t="s">
        <v>139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customFormat="false" ht="15" hidden="false" customHeight="true" outlineLevel="0" collapsed="false">
      <c r="A11" s="3" t="s">
        <v>170</v>
      </c>
      <c r="B11" s="3" t="s">
        <v>39</v>
      </c>
      <c r="C11" s="3" t="s">
        <v>57</v>
      </c>
      <c r="D11" s="3" t="s">
        <v>58</v>
      </c>
      <c r="E11" s="3" t="s">
        <v>111</v>
      </c>
      <c r="F11" s="3" t="s">
        <v>171</v>
      </c>
      <c r="G11" s="3" t="s">
        <v>172</v>
      </c>
      <c r="H11" s="3" t="s">
        <v>45</v>
      </c>
      <c r="I11" s="3" t="s">
        <v>46</v>
      </c>
      <c r="J11" s="3" t="s">
        <v>59</v>
      </c>
      <c r="K11" s="3" t="s">
        <v>114</v>
      </c>
      <c r="L11" s="3" t="s">
        <v>173</v>
      </c>
      <c r="M11" s="3" t="s">
        <v>174</v>
      </c>
      <c r="N11" s="3" t="s">
        <v>174</v>
      </c>
      <c r="O11" s="3" t="s">
        <v>137</v>
      </c>
      <c r="P11" s="3" t="s">
        <v>175</v>
      </c>
      <c r="Q11" s="3" t="s">
        <v>54</v>
      </c>
      <c r="R11" s="3" t="s">
        <v>176</v>
      </c>
      <c r="S11" s="3" t="s">
        <v>65</v>
      </c>
      <c r="T11" s="3" t="s">
        <v>39</v>
      </c>
      <c r="U11" s="3" t="s">
        <v>39</v>
      </c>
      <c r="V11" s="3" t="s">
        <v>39</v>
      </c>
      <c r="W11" s="3" t="s">
        <v>66</v>
      </c>
      <c r="X11" s="3" t="s">
        <v>66</v>
      </c>
      <c r="Y11" s="3" t="s">
        <v>67</v>
      </c>
      <c r="Z11" s="3" t="s">
        <v>68</v>
      </c>
      <c r="AA11" s="3" t="s">
        <v>69</v>
      </c>
      <c r="AB11" s="3" t="s">
        <v>60</v>
      </c>
      <c r="AC11" s="3" t="s">
        <v>70</v>
      </c>
      <c r="AD11" s="3" t="s">
        <v>71</v>
      </c>
      <c r="AE11" s="3" t="s">
        <v>72</v>
      </c>
      <c r="AF11" s="3" t="s">
        <v>73</v>
      </c>
      <c r="AG11" s="3" t="s">
        <v>74</v>
      </c>
      <c r="AH11" s="3" t="s">
        <v>75</v>
      </c>
      <c r="AI11" s="3" t="s">
        <v>76</v>
      </c>
      <c r="AJ11" s="3" t="s">
        <v>77</v>
      </c>
      <c r="AK11" s="4" t="s">
        <v>78</v>
      </c>
      <c r="AL11" s="3" t="s">
        <v>79</v>
      </c>
    </row>
    <row r="12" customFormat="false" ht="15" hidden="false" customHeight="true" outlineLevel="0" collapsed="false">
      <c r="A12" s="3" t="s">
        <v>177</v>
      </c>
      <c r="B12" s="3" t="s">
        <v>39</v>
      </c>
      <c r="C12" s="3" t="s">
        <v>81</v>
      </c>
      <c r="D12" s="3" t="s">
        <v>82</v>
      </c>
      <c r="E12" s="3" t="s">
        <v>42</v>
      </c>
      <c r="F12" s="3" t="s">
        <v>178</v>
      </c>
      <c r="G12" s="3" t="s">
        <v>179</v>
      </c>
      <c r="H12" s="3" t="s">
        <v>45</v>
      </c>
      <c r="I12" s="3" t="s">
        <v>46</v>
      </c>
      <c r="J12" s="3" t="s">
        <v>86</v>
      </c>
      <c r="K12" s="3" t="s">
        <v>135</v>
      </c>
      <c r="L12" s="3" t="s">
        <v>180</v>
      </c>
      <c r="M12" s="3" t="s">
        <v>181</v>
      </c>
      <c r="N12" s="3" t="s">
        <v>181</v>
      </c>
      <c r="O12" s="3" t="s">
        <v>137</v>
      </c>
      <c r="P12" s="3" t="s">
        <v>182</v>
      </c>
      <c r="Q12" s="3" t="s">
        <v>64</v>
      </c>
      <c r="R12" s="3" t="s">
        <v>176</v>
      </c>
      <c r="S12" s="3" t="s">
        <v>93</v>
      </c>
      <c r="T12" s="3" t="s">
        <v>94</v>
      </c>
      <c r="U12" s="3" t="s">
        <v>94</v>
      </c>
      <c r="V12" s="3" t="s">
        <v>94</v>
      </c>
      <c r="W12" s="3" t="s">
        <v>94</v>
      </c>
      <c r="X12" s="3" t="s">
        <v>94</v>
      </c>
      <c r="Y12" s="3" t="s">
        <v>95</v>
      </c>
      <c r="Z12" s="3" t="s">
        <v>96</v>
      </c>
      <c r="AA12" s="3" t="s">
        <v>97</v>
      </c>
      <c r="AB12" s="3" t="s">
        <v>98</v>
      </c>
      <c r="AC12" s="3" t="s">
        <v>99</v>
      </c>
      <c r="AD12" s="3" t="s">
        <v>100</v>
      </c>
      <c r="AE12" s="3" t="s">
        <v>101</v>
      </c>
      <c r="AF12" s="3" t="s">
        <v>102</v>
      </c>
      <c r="AG12" s="3" t="s">
        <v>103</v>
      </c>
      <c r="AH12" s="3" t="s">
        <v>104</v>
      </c>
      <c r="AI12" s="3" t="s">
        <v>105</v>
      </c>
      <c r="AJ12" s="3" t="s">
        <v>106</v>
      </c>
      <c r="AK12" s="4" t="s">
        <v>107</v>
      </c>
      <c r="AL12" s="3" t="s">
        <v>108</v>
      </c>
    </row>
    <row r="13" customFormat="false" ht="15" hidden="false" customHeight="true" outlineLevel="0" collapsed="false">
      <c r="A13" s="3" t="s">
        <v>183</v>
      </c>
      <c r="B13" s="3" t="s">
        <v>39</v>
      </c>
      <c r="C13" s="3" t="s">
        <v>110</v>
      </c>
      <c r="D13" s="3"/>
      <c r="E13" s="3" t="s">
        <v>83</v>
      </c>
      <c r="F13" s="3" t="s">
        <v>184</v>
      </c>
      <c r="G13" s="3" t="s">
        <v>185</v>
      </c>
      <c r="H13" s="3" t="s">
        <v>186</v>
      </c>
      <c r="I13" s="3" t="s">
        <v>46</v>
      </c>
      <c r="J13" s="3" t="s">
        <v>92</v>
      </c>
      <c r="K13" s="3" t="s">
        <v>144</v>
      </c>
      <c r="L13" s="3" t="s">
        <v>187</v>
      </c>
      <c r="M13" s="3" t="s">
        <v>188</v>
      </c>
      <c r="N13" s="3" t="s">
        <v>188</v>
      </c>
      <c r="O13" s="3" t="s">
        <v>137</v>
      </c>
      <c r="P13" s="3" t="s">
        <v>189</v>
      </c>
      <c r="Q13" s="3" t="s">
        <v>92</v>
      </c>
      <c r="R13" s="3" t="s">
        <v>176</v>
      </c>
      <c r="S13" s="3" t="s">
        <v>116</v>
      </c>
      <c r="T13" s="3" t="s">
        <v>117</v>
      </c>
      <c r="U13" s="3" t="s">
        <v>117</v>
      </c>
      <c r="V13" s="3" t="s">
        <v>117</v>
      </c>
      <c r="W13" s="3" t="s">
        <v>66</v>
      </c>
      <c r="X13" s="3" t="s">
        <v>66</v>
      </c>
      <c r="Y13" s="3" t="s">
        <v>118</v>
      </c>
      <c r="Z13" s="3" t="s">
        <v>119</v>
      </c>
      <c r="AA13" s="3" t="s">
        <v>120</v>
      </c>
      <c r="AB13" s="3" t="s">
        <v>121</v>
      </c>
      <c r="AC13" s="3" t="s">
        <v>122</v>
      </c>
      <c r="AD13" s="3" t="s">
        <v>123</v>
      </c>
      <c r="AE13" s="3" t="s">
        <v>72</v>
      </c>
      <c r="AF13" s="3" t="s">
        <v>124</v>
      </c>
      <c r="AG13" s="3" t="s">
        <v>125</v>
      </c>
      <c r="AH13" s="3" t="s">
        <v>126</v>
      </c>
      <c r="AI13" s="3" t="s">
        <v>127</v>
      </c>
      <c r="AJ13" s="3" t="s">
        <v>128</v>
      </c>
      <c r="AK13" s="4" t="s">
        <v>129</v>
      </c>
      <c r="AL13" s="3" t="s">
        <v>130</v>
      </c>
    </row>
    <row r="14" customFormat="false" ht="15" hidden="false" customHeight="true" outlineLevel="0" collapsed="false">
      <c r="A14" s="3" t="s">
        <v>190</v>
      </c>
      <c r="B14" s="3" t="s">
        <v>39</v>
      </c>
      <c r="C14" s="3" t="s">
        <v>132</v>
      </c>
      <c r="D14" s="3" t="s">
        <v>41</v>
      </c>
      <c r="E14" s="3" t="s">
        <v>83</v>
      </c>
      <c r="F14" s="3" t="s">
        <v>184</v>
      </c>
      <c r="G14" s="3" t="s">
        <v>185</v>
      </c>
      <c r="H14" s="3" t="s">
        <v>186</v>
      </c>
      <c r="I14" s="3" t="s">
        <v>46</v>
      </c>
      <c r="J14" s="3" t="s">
        <v>47</v>
      </c>
      <c r="K14" s="3" t="s">
        <v>48</v>
      </c>
      <c r="L14" s="3" t="s">
        <v>187</v>
      </c>
      <c r="M14" s="3" t="s">
        <v>188</v>
      </c>
      <c r="N14" s="3" t="s">
        <v>62</v>
      </c>
      <c r="O14" s="3" t="s">
        <v>52</v>
      </c>
      <c r="P14" s="3" t="s">
        <v>63</v>
      </c>
      <c r="Q14" s="3" t="s">
        <v>54</v>
      </c>
      <c r="R14" s="3" t="s">
        <v>176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customFormat="false" ht="15" hidden="false" customHeight="true" outlineLevel="0" collapsed="false">
      <c r="A15" s="3" t="s">
        <v>191</v>
      </c>
      <c r="B15" s="3" t="s">
        <v>94</v>
      </c>
      <c r="C15" s="3" t="s">
        <v>141</v>
      </c>
      <c r="D15" s="3" t="s">
        <v>58</v>
      </c>
      <c r="E15" s="3" t="s">
        <v>83</v>
      </c>
      <c r="F15" s="3" t="s">
        <v>43</v>
      </c>
      <c r="G15" s="3" t="s">
        <v>44</v>
      </c>
      <c r="H15" s="3" t="s">
        <v>45</v>
      </c>
      <c r="I15" s="3" t="s">
        <v>46</v>
      </c>
      <c r="J15" s="3" t="s">
        <v>59</v>
      </c>
      <c r="K15" s="3" t="s">
        <v>60</v>
      </c>
      <c r="L15" s="3" t="s">
        <v>192</v>
      </c>
      <c r="M15" s="3" t="s">
        <v>89</v>
      </c>
      <c r="N15" s="3" t="s">
        <v>154</v>
      </c>
      <c r="O15" s="3" t="s">
        <v>168</v>
      </c>
      <c r="P15" s="3" t="s">
        <v>193</v>
      </c>
      <c r="Q15" s="3" t="s">
        <v>64</v>
      </c>
      <c r="R15" s="3" t="s">
        <v>55</v>
      </c>
      <c r="S15" s="3" t="s">
        <v>65</v>
      </c>
      <c r="T15" s="3" t="s">
        <v>39</v>
      </c>
      <c r="U15" s="3" t="s">
        <v>39</v>
      </c>
      <c r="V15" s="3" t="s">
        <v>39</v>
      </c>
      <c r="W15" s="3" t="s">
        <v>66</v>
      </c>
      <c r="X15" s="3" t="s">
        <v>66</v>
      </c>
      <c r="Y15" s="3" t="s">
        <v>67</v>
      </c>
      <c r="Z15" s="3" t="s">
        <v>68</v>
      </c>
      <c r="AA15" s="3" t="s">
        <v>69</v>
      </c>
      <c r="AB15" s="3" t="s">
        <v>60</v>
      </c>
      <c r="AC15" s="3" t="s">
        <v>70</v>
      </c>
      <c r="AD15" s="3" t="s">
        <v>71</v>
      </c>
      <c r="AE15" s="3" t="s">
        <v>72</v>
      </c>
      <c r="AF15" s="3" t="s">
        <v>73</v>
      </c>
      <c r="AG15" s="3" t="s">
        <v>74</v>
      </c>
      <c r="AH15" s="3" t="s">
        <v>75</v>
      </c>
      <c r="AI15" s="3" t="s">
        <v>76</v>
      </c>
      <c r="AJ15" s="3" t="s">
        <v>77</v>
      </c>
      <c r="AK15" s="4" t="s">
        <v>78</v>
      </c>
      <c r="AL15" s="3" t="s">
        <v>79</v>
      </c>
    </row>
    <row r="16" customFormat="false" ht="15" hidden="false" customHeight="true" outlineLevel="0" collapsed="false">
      <c r="A16" s="3" t="s">
        <v>194</v>
      </c>
      <c r="B16" s="3" t="s">
        <v>94</v>
      </c>
      <c r="C16" s="3" t="s">
        <v>150</v>
      </c>
      <c r="D16" s="3" t="s">
        <v>82</v>
      </c>
      <c r="E16" s="3" t="s">
        <v>111</v>
      </c>
      <c r="F16" s="3" t="s">
        <v>84</v>
      </c>
      <c r="G16" s="3" t="s">
        <v>85</v>
      </c>
      <c r="H16" s="3" t="s">
        <v>45</v>
      </c>
      <c r="I16" s="3" t="s">
        <v>46</v>
      </c>
      <c r="J16" s="3" t="s">
        <v>86</v>
      </c>
      <c r="K16" s="3" t="s">
        <v>154</v>
      </c>
      <c r="L16" s="3" t="s">
        <v>195</v>
      </c>
      <c r="M16" s="3" t="s">
        <v>196</v>
      </c>
      <c r="N16" s="3" t="s">
        <v>87</v>
      </c>
      <c r="O16" s="3" t="s">
        <v>168</v>
      </c>
      <c r="P16" s="3" t="s">
        <v>197</v>
      </c>
      <c r="Q16" s="3" t="s">
        <v>92</v>
      </c>
      <c r="R16" s="3" t="s">
        <v>55</v>
      </c>
      <c r="S16" s="3" t="s">
        <v>93</v>
      </c>
      <c r="T16" s="3" t="s">
        <v>94</v>
      </c>
      <c r="U16" s="3" t="s">
        <v>94</v>
      </c>
      <c r="V16" s="3" t="s">
        <v>94</v>
      </c>
      <c r="W16" s="3" t="s">
        <v>94</v>
      </c>
      <c r="X16" s="3" t="s">
        <v>94</v>
      </c>
      <c r="Y16" s="3" t="s">
        <v>95</v>
      </c>
      <c r="Z16" s="3" t="s">
        <v>96</v>
      </c>
      <c r="AA16" s="3" t="s">
        <v>97</v>
      </c>
      <c r="AB16" s="3" t="s">
        <v>98</v>
      </c>
      <c r="AC16" s="3" t="s">
        <v>99</v>
      </c>
      <c r="AD16" s="3" t="s">
        <v>100</v>
      </c>
      <c r="AE16" s="3" t="s">
        <v>101</v>
      </c>
      <c r="AF16" s="3" t="s">
        <v>102</v>
      </c>
      <c r="AG16" s="3" t="s">
        <v>103</v>
      </c>
      <c r="AH16" s="3" t="s">
        <v>104</v>
      </c>
      <c r="AI16" s="3" t="s">
        <v>105</v>
      </c>
      <c r="AJ16" s="3" t="s">
        <v>106</v>
      </c>
      <c r="AK16" s="4" t="s">
        <v>107</v>
      </c>
      <c r="AL16" s="3" t="s">
        <v>108</v>
      </c>
    </row>
    <row r="17" customFormat="false" ht="15" hidden="false" customHeight="true" outlineLevel="0" collapsed="false">
      <c r="A17" s="3" t="s">
        <v>198</v>
      </c>
      <c r="B17" s="3" t="s">
        <v>94</v>
      </c>
      <c r="C17" s="3" t="s">
        <v>160</v>
      </c>
      <c r="D17" s="3"/>
      <c r="E17" s="3" t="s">
        <v>42</v>
      </c>
      <c r="F17" s="3" t="s">
        <v>199</v>
      </c>
      <c r="G17" s="3" t="s">
        <v>200</v>
      </c>
      <c r="H17" s="3" t="s">
        <v>45</v>
      </c>
      <c r="I17" s="3" t="s">
        <v>46</v>
      </c>
      <c r="J17" s="3" t="s">
        <v>92</v>
      </c>
      <c r="K17" s="3" t="s">
        <v>48</v>
      </c>
      <c r="L17" s="3" t="s">
        <v>201</v>
      </c>
      <c r="M17" s="3" t="s">
        <v>202</v>
      </c>
      <c r="N17" s="3" t="s">
        <v>203</v>
      </c>
      <c r="O17" s="3" t="s">
        <v>168</v>
      </c>
      <c r="P17" s="3" t="s">
        <v>204</v>
      </c>
      <c r="Q17" s="3" t="s">
        <v>54</v>
      </c>
      <c r="R17" s="3" t="s">
        <v>55</v>
      </c>
      <c r="S17" s="3" t="s">
        <v>116</v>
      </c>
      <c r="T17" s="3" t="s">
        <v>117</v>
      </c>
      <c r="U17" s="3" t="s">
        <v>117</v>
      </c>
      <c r="V17" s="3" t="s">
        <v>117</v>
      </c>
      <c r="W17" s="3" t="s">
        <v>66</v>
      </c>
      <c r="X17" s="3" t="s">
        <v>66</v>
      </c>
      <c r="Y17" s="3" t="s">
        <v>118</v>
      </c>
      <c r="Z17" s="3" t="s">
        <v>119</v>
      </c>
      <c r="AA17" s="3" t="s">
        <v>120</v>
      </c>
      <c r="AB17" s="3" t="s">
        <v>121</v>
      </c>
      <c r="AC17" s="3" t="s">
        <v>122</v>
      </c>
      <c r="AD17" s="3" t="s">
        <v>123</v>
      </c>
      <c r="AE17" s="3" t="s">
        <v>72</v>
      </c>
      <c r="AF17" s="3" t="s">
        <v>124</v>
      </c>
      <c r="AG17" s="3" t="s">
        <v>125</v>
      </c>
      <c r="AH17" s="3" t="s">
        <v>126</v>
      </c>
      <c r="AI17" s="3" t="s">
        <v>127</v>
      </c>
      <c r="AJ17" s="3" t="s">
        <v>128</v>
      </c>
      <c r="AK17" s="4" t="s">
        <v>129</v>
      </c>
      <c r="AL17" s="3" t="s">
        <v>130</v>
      </c>
    </row>
    <row r="18" customFormat="false" ht="15" hidden="false" customHeight="true" outlineLevel="0" collapsed="false">
      <c r="A18" s="3" t="s">
        <v>205</v>
      </c>
      <c r="B18" s="3" t="s">
        <v>94</v>
      </c>
      <c r="C18" s="3" t="s">
        <v>40</v>
      </c>
      <c r="D18" s="3" t="s">
        <v>41</v>
      </c>
      <c r="E18" s="3" t="s">
        <v>111</v>
      </c>
      <c r="F18" s="3" t="s">
        <v>133</v>
      </c>
      <c r="G18" s="3" t="s">
        <v>134</v>
      </c>
      <c r="H18" s="3" t="s">
        <v>45</v>
      </c>
      <c r="I18" s="3" t="s">
        <v>46</v>
      </c>
      <c r="J18" s="3" t="s">
        <v>47</v>
      </c>
      <c r="K18" s="3" t="s">
        <v>135</v>
      </c>
      <c r="L18" s="3" t="s">
        <v>206</v>
      </c>
      <c r="M18" s="3" t="s">
        <v>61</v>
      </c>
      <c r="N18" s="3" t="s">
        <v>62</v>
      </c>
      <c r="O18" s="3" t="s">
        <v>52</v>
      </c>
      <c r="P18" s="3" t="s">
        <v>207</v>
      </c>
      <c r="Q18" s="3" t="s">
        <v>64</v>
      </c>
      <c r="R18" s="3" t="s">
        <v>139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customFormat="false" ht="15" hidden="false" customHeight="true" outlineLevel="0" collapsed="false">
      <c r="A19" s="3" t="s">
        <v>208</v>
      </c>
      <c r="B19" s="3" t="s">
        <v>94</v>
      </c>
      <c r="C19" s="3" t="s">
        <v>57</v>
      </c>
      <c r="D19" s="3" t="s">
        <v>58</v>
      </c>
      <c r="E19" s="3" t="s">
        <v>42</v>
      </c>
      <c r="F19" s="3" t="s">
        <v>152</v>
      </c>
      <c r="G19" s="3" t="s">
        <v>153</v>
      </c>
      <c r="H19" s="3" t="s">
        <v>45</v>
      </c>
      <c r="I19" s="3" t="s">
        <v>46</v>
      </c>
      <c r="J19" s="3" t="s">
        <v>59</v>
      </c>
      <c r="K19" s="3" t="s">
        <v>144</v>
      </c>
      <c r="L19" s="3" t="s">
        <v>209</v>
      </c>
      <c r="M19" s="3" t="s">
        <v>50</v>
      </c>
      <c r="N19" s="3" t="s">
        <v>51</v>
      </c>
      <c r="O19" s="3" t="s">
        <v>52</v>
      </c>
      <c r="P19" s="3" t="s">
        <v>210</v>
      </c>
      <c r="Q19" s="3" t="s">
        <v>92</v>
      </c>
      <c r="R19" s="3" t="s">
        <v>139</v>
      </c>
      <c r="S19" s="3" t="s">
        <v>65</v>
      </c>
      <c r="T19" s="3" t="s">
        <v>39</v>
      </c>
      <c r="U19" s="3" t="s">
        <v>39</v>
      </c>
      <c r="V19" s="3" t="s">
        <v>39</v>
      </c>
      <c r="W19" s="3" t="s">
        <v>66</v>
      </c>
      <c r="X19" s="3" t="s">
        <v>66</v>
      </c>
      <c r="Y19" s="3" t="s">
        <v>67</v>
      </c>
      <c r="Z19" s="3" t="s">
        <v>68</v>
      </c>
      <c r="AA19" s="3" t="s">
        <v>69</v>
      </c>
      <c r="AB19" s="3" t="s">
        <v>60</v>
      </c>
      <c r="AC19" s="3" t="s">
        <v>70</v>
      </c>
      <c r="AD19" s="3" t="s">
        <v>71</v>
      </c>
      <c r="AE19" s="3" t="s">
        <v>72</v>
      </c>
      <c r="AF19" s="3" t="s">
        <v>73</v>
      </c>
      <c r="AG19" s="3" t="s">
        <v>74</v>
      </c>
      <c r="AH19" s="3" t="s">
        <v>75</v>
      </c>
      <c r="AI19" s="3" t="s">
        <v>76</v>
      </c>
      <c r="AJ19" s="3" t="s">
        <v>77</v>
      </c>
      <c r="AK19" s="4" t="s">
        <v>78</v>
      </c>
      <c r="AL19" s="3" t="s">
        <v>79</v>
      </c>
    </row>
    <row r="20" customFormat="false" ht="15" hidden="false" customHeight="true" outlineLevel="0" collapsed="false">
      <c r="A20" s="3" t="s">
        <v>211</v>
      </c>
      <c r="B20" s="3" t="s">
        <v>94</v>
      </c>
      <c r="C20" s="3" t="s">
        <v>81</v>
      </c>
      <c r="D20" s="3" t="s">
        <v>82</v>
      </c>
      <c r="E20" s="3" t="s">
        <v>42</v>
      </c>
      <c r="F20" s="3" t="s">
        <v>152</v>
      </c>
      <c r="G20" s="3" t="s">
        <v>153</v>
      </c>
      <c r="H20" s="3" t="s">
        <v>45</v>
      </c>
      <c r="I20" s="3" t="s">
        <v>46</v>
      </c>
      <c r="J20" s="3" t="s">
        <v>86</v>
      </c>
      <c r="K20" s="3" t="s">
        <v>48</v>
      </c>
      <c r="L20" s="3" t="s">
        <v>209</v>
      </c>
      <c r="M20" s="3" t="s">
        <v>61</v>
      </c>
      <c r="N20" s="3" t="s">
        <v>62</v>
      </c>
      <c r="O20" s="3" t="s">
        <v>52</v>
      </c>
      <c r="P20" s="3" t="s">
        <v>207</v>
      </c>
      <c r="Q20" s="3" t="s">
        <v>54</v>
      </c>
      <c r="R20" s="3" t="s">
        <v>139</v>
      </c>
      <c r="S20" s="3" t="s">
        <v>93</v>
      </c>
      <c r="T20" s="3" t="s">
        <v>94</v>
      </c>
      <c r="U20" s="3" t="s">
        <v>94</v>
      </c>
      <c r="V20" s="3" t="s">
        <v>94</v>
      </c>
      <c r="W20" s="3" t="s">
        <v>94</v>
      </c>
      <c r="X20" s="3" t="s">
        <v>94</v>
      </c>
      <c r="Y20" s="3" t="s">
        <v>95</v>
      </c>
      <c r="Z20" s="3" t="s">
        <v>96</v>
      </c>
      <c r="AA20" s="3" t="s">
        <v>97</v>
      </c>
      <c r="AB20" s="3" t="s">
        <v>98</v>
      </c>
      <c r="AC20" s="3" t="s">
        <v>99</v>
      </c>
      <c r="AD20" s="3" t="s">
        <v>100</v>
      </c>
      <c r="AE20" s="3" t="s">
        <v>101</v>
      </c>
      <c r="AF20" s="3" t="s">
        <v>102</v>
      </c>
      <c r="AG20" s="3" t="s">
        <v>103</v>
      </c>
      <c r="AH20" s="3" t="s">
        <v>104</v>
      </c>
      <c r="AI20" s="3" t="s">
        <v>105</v>
      </c>
      <c r="AJ20" s="3" t="s">
        <v>106</v>
      </c>
      <c r="AK20" s="4" t="s">
        <v>107</v>
      </c>
      <c r="AL20" s="3" t="s">
        <v>108</v>
      </c>
    </row>
    <row r="21" customFormat="false" ht="15" hidden="false" customHeight="true" outlineLevel="0" collapsed="false">
      <c r="A21" s="3" t="s">
        <v>212</v>
      </c>
      <c r="B21" s="3" t="s">
        <v>94</v>
      </c>
      <c r="C21" s="3" t="s">
        <v>110</v>
      </c>
      <c r="D21" s="3"/>
      <c r="E21" s="3" t="s">
        <v>83</v>
      </c>
      <c r="F21" s="3" t="s">
        <v>161</v>
      </c>
      <c r="G21" s="3" t="s">
        <v>162</v>
      </c>
      <c r="H21" s="3" t="s">
        <v>45</v>
      </c>
      <c r="I21" s="3" t="s">
        <v>46</v>
      </c>
      <c r="J21" s="3" t="s">
        <v>92</v>
      </c>
      <c r="K21" s="3" t="s">
        <v>60</v>
      </c>
      <c r="L21" s="3" t="s">
        <v>213</v>
      </c>
      <c r="M21" s="3" t="s">
        <v>89</v>
      </c>
      <c r="N21" s="3" t="s">
        <v>90</v>
      </c>
      <c r="O21" s="3" t="s">
        <v>52</v>
      </c>
      <c r="P21" s="3" t="s">
        <v>214</v>
      </c>
      <c r="Q21" s="3" t="s">
        <v>64</v>
      </c>
      <c r="R21" s="3" t="s">
        <v>139</v>
      </c>
      <c r="S21" s="3" t="s">
        <v>116</v>
      </c>
      <c r="T21" s="3" t="s">
        <v>117</v>
      </c>
      <c r="U21" s="3" t="s">
        <v>117</v>
      </c>
      <c r="V21" s="3" t="s">
        <v>117</v>
      </c>
      <c r="W21" s="3" t="s">
        <v>66</v>
      </c>
      <c r="X21" s="3" t="s">
        <v>66</v>
      </c>
      <c r="Y21" s="3" t="s">
        <v>118</v>
      </c>
      <c r="Z21" s="3" t="s">
        <v>119</v>
      </c>
      <c r="AA21" s="3" t="s">
        <v>120</v>
      </c>
      <c r="AB21" s="3" t="s">
        <v>121</v>
      </c>
      <c r="AC21" s="3" t="s">
        <v>122</v>
      </c>
      <c r="AD21" s="3" t="s">
        <v>123</v>
      </c>
      <c r="AE21" s="3" t="s">
        <v>72</v>
      </c>
      <c r="AF21" s="3" t="s">
        <v>124</v>
      </c>
      <c r="AG21" s="3" t="s">
        <v>125</v>
      </c>
      <c r="AH21" s="3" t="s">
        <v>126</v>
      </c>
      <c r="AI21" s="3" t="s">
        <v>127</v>
      </c>
      <c r="AJ21" s="3" t="s">
        <v>128</v>
      </c>
      <c r="AK21" s="4" t="s">
        <v>129</v>
      </c>
      <c r="AL21" s="3" t="s">
        <v>130</v>
      </c>
    </row>
    <row r="22" customFormat="false" ht="15" hidden="false" customHeight="true" outlineLevel="0" collapsed="false">
      <c r="A22" s="3" t="s">
        <v>215</v>
      </c>
      <c r="B22" s="3" t="s">
        <v>94</v>
      </c>
      <c r="C22" s="3" t="s">
        <v>132</v>
      </c>
      <c r="D22" s="3" t="s">
        <v>41</v>
      </c>
      <c r="E22" s="3" t="s">
        <v>151</v>
      </c>
      <c r="F22" s="3" t="s">
        <v>171</v>
      </c>
      <c r="G22" s="3" t="s">
        <v>172</v>
      </c>
      <c r="H22" s="3" t="s">
        <v>45</v>
      </c>
      <c r="I22" s="3" t="s">
        <v>46</v>
      </c>
      <c r="J22" s="3" t="s">
        <v>47</v>
      </c>
      <c r="K22" s="3" t="s">
        <v>87</v>
      </c>
      <c r="L22" s="3" t="s">
        <v>216</v>
      </c>
      <c r="M22" s="3" t="s">
        <v>156</v>
      </c>
      <c r="N22" s="3" t="s">
        <v>156</v>
      </c>
      <c r="O22" s="3" t="s">
        <v>52</v>
      </c>
      <c r="P22" s="3" t="s">
        <v>217</v>
      </c>
      <c r="Q22" s="3" t="s">
        <v>92</v>
      </c>
      <c r="R22" s="3" t="s">
        <v>158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customFormat="false" ht="15" hidden="false" customHeight="true" outlineLevel="0" collapsed="false">
      <c r="A23" s="3" t="s">
        <v>218</v>
      </c>
      <c r="B23" s="3" t="s">
        <v>94</v>
      </c>
      <c r="C23" s="3" t="s">
        <v>141</v>
      </c>
      <c r="D23" s="3" t="s">
        <v>58</v>
      </c>
      <c r="E23" s="3" t="s">
        <v>42</v>
      </c>
      <c r="F23" s="3" t="s">
        <v>219</v>
      </c>
      <c r="G23" s="3" t="s">
        <v>220</v>
      </c>
      <c r="H23" s="3" t="s">
        <v>45</v>
      </c>
      <c r="I23" s="3" t="s">
        <v>46</v>
      </c>
      <c r="J23" s="3" t="s">
        <v>59</v>
      </c>
      <c r="K23" s="3" t="s">
        <v>114</v>
      </c>
      <c r="L23" s="3" t="s">
        <v>221</v>
      </c>
      <c r="M23" s="3" t="s">
        <v>164</v>
      </c>
      <c r="N23" s="3" t="s">
        <v>165</v>
      </c>
      <c r="O23" s="3" t="s">
        <v>52</v>
      </c>
      <c r="P23" s="3" t="s">
        <v>222</v>
      </c>
      <c r="Q23" s="3" t="s">
        <v>54</v>
      </c>
      <c r="R23" s="3" t="s">
        <v>176</v>
      </c>
      <c r="S23" s="3" t="s">
        <v>65</v>
      </c>
      <c r="T23" s="3" t="s">
        <v>39</v>
      </c>
      <c r="U23" s="3" t="s">
        <v>39</v>
      </c>
      <c r="V23" s="3" t="s">
        <v>39</v>
      </c>
      <c r="W23" s="3" t="s">
        <v>66</v>
      </c>
      <c r="X23" s="3" t="s">
        <v>66</v>
      </c>
      <c r="Y23" s="3" t="s">
        <v>67</v>
      </c>
      <c r="Z23" s="3" t="s">
        <v>68</v>
      </c>
      <c r="AA23" s="3" t="s">
        <v>69</v>
      </c>
      <c r="AB23" s="3" t="s">
        <v>60</v>
      </c>
      <c r="AC23" s="3" t="s">
        <v>70</v>
      </c>
      <c r="AD23" s="3" t="s">
        <v>71</v>
      </c>
      <c r="AE23" s="3" t="s">
        <v>72</v>
      </c>
      <c r="AF23" s="3" t="s">
        <v>73</v>
      </c>
      <c r="AG23" s="3" t="s">
        <v>74</v>
      </c>
      <c r="AH23" s="3" t="s">
        <v>75</v>
      </c>
      <c r="AI23" s="3" t="s">
        <v>76</v>
      </c>
      <c r="AJ23" s="3" t="s">
        <v>77</v>
      </c>
      <c r="AK23" s="4" t="s">
        <v>78</v>
      </c>
      <c r="AL23" s="3" t="s">
        <v>79</v>
      </c>
    </row>
    <row r="24" customFormat="false" ht="15" hidden="false" customHeight="true" outlineLevel="0" collapsed="false">
      <c r="A24" s="3" t="s">
        <v>223</v>
      </c>
      <c r="B24" s="3" t="s">
        <v>94</v>
      </c>
      <c r="C24" s="3" t="s">
        <v>150</v>
      </c>
      <c r="D24" s="3" t="s">
        <v>82</v>
      </c>
      <c r="E24" s="3" t="s">
        <v>42</v>
      </c>
      <c r="F24" s="3" t="s">
        <v>219</v>
      </c>
      <c r="G24" s="3" t="s">
        <v>220</v>
      </c>
      <c r="H24" s="3" t="s">
        <v>45</v>
      </c>
      <c r="I24" s="3" t="s">
        <v>46</v>
      </c>
      <c r="J24" s="3" t="s">
        <v>86</v>
      </c>
      <c r="K24" s="3" t="s">
        <v>154</v>
      </c>
      <c r="L24" s="3" t="s">
        <v>221</v>
      </c>
      <c r="M24" s="3" t="s">
        <v>61</v>
      </c>
      <c r="N24" s="3" t="s">
        <v>114</v>
      </c>
      <c r="O24" s="3" t="s">
        <v>168</v>
      </c>
      <c r="P24" s="3" t="s">
        <v>224</v>
      </c>
      <c r="Q24" s="3" t="s">
        <v>64</v>
      </c>
      <c r="R24" s="3" t="s">
        <v>176</v>
      </c>
      <c r="S24" s="3" t="s">
        <v>93</v>
      </c>
      <c r="T24" s="3" t="s">
        <v>94</v>
      </c>
      <c r="U24" s="3" t="s">
        <v>94</v>
      </c>
      <c r="V24" s="3" t="s">
        <v>94</v>
      </c>
      <c r="W24" s="3" t="s">
        <v>94</v>
      </c>
      <c r="X24" s="3" t="s">
        <v>94</v>
      </c>
      <c r="Y24" s="3" t="s">
        <v>95</v>
      </c>
      <c r="Z24" s="3" t="s">
        <v>96</v>
      </c>
      <c r="AA24" s="3" t="s">
        <v>97</v>
      </c>
      <c r="AB24" s="3" t="s">
        <v>98</v>
      </c>
      <c r="AC24" s="3" t="s">
        <v>99</v>
      </c>
      <c r="AD24" s="3" t="s">
        <v>100</v>
      </c>
      <c r="AE24" s="3" t="s">
        <v>101</v>
      </c>
      <c r="AF24" s="3" t="s">
        <v>102</v>
      </c>
      <c r="AG24" s="3" t="s">
        <v>103</v>
      </c>
      <c r="AH24" s="3" t="s">
        <v>104</v>
      </c>
      <c r="AI24" s="3" t="s">
        <v>105</v>
      </c>
      <c r="AJ24" s="3" t="s">
        <v>106</v>
      </c>
      <c r="AK24" s="4" t="s">
        <v>107</v>
      </c>
      <c r="AL24" s="3" t="s">
        <v>108</v>
      </c>
    </row>
    <row r="25" customFormat="false" ht="15" hidden="false" customHeight="true" outlineLevel="0" collapsed="false">
      <c r="A25" s="3" t="s">
        <v>225</v>
      </c>
      <c r="B25" s="3" t="s">
        <v>94</v>
      </c>
      <c r="C25" s="3" t="s">
        <v>160</v>
      </c>
      <c r="D25" s="3"/>
      <c r="E25" s="3" t="s">
        <v>83</v>
      </c>
      <c r="F25" s="3" t="s">
        <v>178</v>
      </c>
      <c r="G25" s="3" t="s">
        <v>179</v>
      </c>
      <c r="H25" s="3" t="s">
        <v>45</v>
      </c>
      <c r="I25" s="3" t="s">
        <v>46</v>
      </c>
      <c r="J25" s="3" t="s">
        <v>92</v>
      </c>
      <c r="K25" s="3" t="s">
        <v>48</v>
      </c>
      <c r="L25" s="3" t="s">
        <v>226</v>
      </c>
      <c r="M25" s="3" t="s">
        <v>89</v>
      </c>
      <c r="N25" s="3" t="s">
        <v>89</v>
      </c>
      <c r="O25" s="3" t="s">
        <v>137</v>
      </c>
      <c r="P25" s="3" t="s">
        <v>227</v>
      </c>
      <c r="Q25" s="3" t="s">
        <v>92</v>
      </c>
      <c r="R25" s="3" t="s">
        <v>176</v>
      </c>
      <c r="S25" s="3" t="s">
        <v>116</v>
      </c>
      <c r="T25" s="3" t="s">
        <v>117</v>
      </c>
      <c r="U25" s="3" t="s">
        <v>117</v>
      </c>
      <c r="V25" s="3" t="s">
        <v>117</v>
      </c>
      <c r="W25" s="3" t="s">
        <v>66</v>
      </c>
      <c r="X25" s="3" t="s">
        <v>66</v>
      </c>
      <c r="Y25" s="3" t="s">
        <v>118</v>
      </c>
      <c r="Z25" s="3" t="s">
        <v>119</v>
      </c>
      <c r="AA25" s="3" t="s">
        <v>120</v>
      </c>
      <c r="AB25" s="3" t="s">
        <v>121</v>
      </c>
      <c r="AC25" s="3" t="s">
        <v>122</v>
      </c>
      <c r="AD25" s="3" t="s">
        <v>123</v>
      </c>
      <c r="AE25" s="3" t="s">
        <v>72</v>
      </c>
      <c r="AF25" s="3" t="s">
        <v>124</v>
      </c>
      <c r="AG25" s="3" t="s">
        <v>125</v>
      </c>
      <c r="AH25" s="3" t="s">
        <v>126</v>
      </c>
      <c r="AI25" s="3" t="s">
        <v>127</v>
      </c>
      <c r="AJ25" s="3" t="s">
        <v>128</v>
      </c>
      <c r="AK25" s="4" t="s">
        <v>129</v>
      </c>
      <c r="AL25" s="3" t="s">
        <v>130</v>
      </c>
    </row>
    <row r="26" customFormat="false" ht="15" hidden="false" customHeight="true" outlineLevel="0" collapsed="false">
      <c r="A26" s="3" t="s">
        <v>228</v>
      </c>
      <c r="B26" s="3" t="s">
        <v>94</v>
      </c>
      <c r="C26" s="3" t="s">
        <v>40</v>
      </c>
      <c r="D26" s="3" t="s">
        <v>41</v>
      </c>
      <c r="E26" s="3" t="s">
        <v>111</v>
      </c>
      <c r="F26" s="3" t="s">
        <v>184</v>
      </c>
      <c r="G26" s="3" t="s">
        <v>185</v>
      </c>
      <c r="H26" s="3" t="s">
        <v>186</v>
      </c>
      <c r="I26" s="3" t="s">
        <v>46</v>
      </c>
      <c r="J26" s="3" t="s">
        <v>47</v>
      </c>
      <c r="K26" s="3" t="s">
        <v>48</v>
      </c>
      <c r="L26" s="3" t="s">
        <v>229</v>
      </c>
      <c r="M26" s="3" t="s">
        <v>230</v>
      </c>
      <c r="N26" s="3" t="s">
        <v>147</v>
      </c>
      <c r="O26" s="3" t="s">
        <v>52</v>
      </c>
      <c r="P26" s="3" t="s">
        <v>231</v>
      </c>
      <c r="Q26" s="3" t="s">
        <v>54</v>
      </c>
      <c r="R26" s="3" t="s">
        <v>176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customFormat="false" ht="15" hidden="false" customHeight="true" outlineLevel="0" collapsed="false">
      <c r="A27" s="3" t="s">
        <v>232</v>
      </c>
      <c r="B27" s="3" t="s">
        <v>117</v>
      </c>
      <c r="C27" s="3" t="s">
        <v>57</v>
      </c>
      <c r="D27" s="3" t="s">
        <v>58</v>
      </c>
      <c r="E27" s="3" t="s">
        <v>111</v>
      </c>
      <c r="F27" s="3" t="s">
        <v>43</v>
      </c>
      <c r="G27" s="3" t="s">
        <v>44</v>
      </c>
      <c r="H27" s="3" t="s">
        <v>45</v>
      </c>
      <c r="I27" s="3" t="s">
        <v>46</v>
      </c>
      <c r="J27" s="3" t="s">
        <v>59</v>
      </c>
      <c r="K27" s="3" t="s">
        <v>60</v>
      </c>
      <c r="L27" s="3" t="s">
        <v>233</v>
      </c>
      <c r="M27" s="3" t="s">
        <v>174</v>
      </c>
      <c r="N27" s="3" t="s">
        <v>174</v>
      </c>
      <c r="O27" s="3" t="s">
        <v>137</v>
      </c>
      <c r="P27" s="3" t="s">
        <v>234</v>
      </c>
      <c r="Q27" s="3" t="s">
        <v>64</v>
      </c>
      <c r="R27" s="3" t="s">
        <v>55</v>
      </c>
      <c r="S27" s="3" t="s">
        <v>65</v>
      </c>
      <c r="T27" s="3" t="s">
        <v>39</v>
      </c>
      <c r="U27" s="3" t="s">
        <v>39</v>
      </c>
      <c r="V27" s="3" t="s">
        <v>39</v>
      </c>
      <c r="W27" s="3" t="s">
        <v>66</v>
      </c>
      <c r="X27" s="3" t="s">
        <v>66</v>
      </c>
      <c r="Y27" s="3" t="s">
        <v>67</v>
      </c>
      <c r="Z27" s="3" t="s">
        <v>68</v>
      </c>
      <c r="AA27" s="3" t="s">
        <v>69</v>
      </c>
      <c r="AB27" s="3" t="s">
        <v>60</v>
      </c>
      <c r="AC27" s="3" t="s">
        <v>70</v>
      </c>
      <c r="AD27" s="3" t="s">
        <v>71</v>
      </c>
      <c r="AE27" s="3" t="s">
        <v>72</v>
      </c>
      <c r="AF27" s="3" t="s">
        <v>73</v>
      </c>
      <c r="AG27" s="3" t="s">
        <v>74</v>
      </c>
      <c r="AH27" s="3" t="s">
        <v>75</v>
      </c>
      <c r="AI27" s="3" t="s">
        <v>76</v>
      </c>
      <c r="AJ27" s="3" t="s">
        <v>77</v>
      </c>
      <c r="AK27" s="4" t="s">
        <v>78</v>
      </c>
      <c r="AL27" s="3" t="s">
        <v>79</v>
      </c>
    </row>
    <row r="28" customFormat="false" ht="15" hidden="false" customHeight="true" outlineLevel="0" collapsed="false">
      <c r="A28" s="3" t="s">
        <v>235</v>
      </c>
      <c r="B28" s="3" t="s">
        <v>117</v>
      </c>
      <c r="C28" s="3" t="s">
        <v>81</v>
      </c>
      <c r="D28" s="3" t="s">
        <v>82</v>
      </c>
      <c r="E28" s="3" t="s">
        <v>42</v>
      </c>
      <c r="F28" s="3" t="s">
        <v>112</v>
      </c>
      <c r="G28" s="3" t="s">
        <v>113</v>
      </c>
      <c r="H28" s="3" t="s">
        <v>45</v>
      </c>
      <c r="I28" s="3" t="s">
        <v>46</v>
      </c>
      <c r="J28" s="3" t="s">
        <v>86</v>
      </c>
      <c r="K28" s="3" t="s">
        <v>87</v>
      </c>
      <c r="L28" s="3" t="s">
        <v>236</v>
      </c>
      <c r="M28" s="3" t="s">
        <v>181</v>
      </c>
      <c r="N28" s="3" t="s">
        <v>181</v>
      </c>
      <c r="O28" s="3" t="s">
        <v>137</v>
      </c>
      <c r="P28" s="3" t="s">
        <v>237</v>
      </c>
      <c r="Q28" s="3" t="s">
        <v>92</v>
      </c>
      <c r="R28" s="3" t="s">
        <v>55</v>
      </c>
      <c r="S28" s="3" t="s">
        <v>93</v>
      </c>
      <c r="T28" s="3" t="s">
        <v>94</v>
      </c>
      <c r="U28" s="3" t="s">
        <v>94</v>
      </c>
      <c r="V28" s="3" t="s">
        <v>94</v>
      </c>
      <c r="W28" s="3" t="s">
        <v>94</v>
      </c>
      <c r="X28" s="3" t="s">
        <v>94</v>
      </c>
      <c r="Y28" s="3" t="s">
        <v>95</v>
      </c>
      <c r="Z28" s="3" t="s">
        <v>96</v>
      </c>
      <c r="AA28" s="3" t="s">
        <v>97</v>
      </c>
      <c r="AB28" s="3" t="s">
        <v>98</v>
      </c>
      <c r="AC28" s="3" t="s">
        <v>99</v>
      </c>
      <c r="AD28" s="3" t="s">
        <v>100</v>
      </c>
      <c r="AE28" s="3" t="s">
        <v>101</v>
      </c>
      <c r="AF28" s="3" t="s">
        <v>102</v>
      </c>
      <c r="AG28" s="3" t="s">
        <v>103</v>
      </c>
      <c r="AH28" s="3" t="s">
        <v>104</v>
      </c>
      <c r="AI28" s="3" t="s">
        <v>105</v>
      </c>
      <c r="AJ28" s="3" t="s">
        <v>106</v>
      </c>
      <c r="AK28" s="4" t="s">
        <v>107</v>
      </c>
      <c r="AL28" s="3" t="s">
        <v>108</v>
      </c>
    </row>
    <row r="29" customFormat="false" ht="15" hidden="false" customHeight="true" outlineLevel="0" collapsed="false">
      <c r="A29" s="3" t="s">
        <v>238</v>
      </c>
      <c r="B29" s="3" t="s">
        <v>117</v>
      </c>
      <c r="C29" s="3" t="s">
        <v>110</v>
      </c>
      <c r="D29" s="3"/>
      <c r="E29" s="3" t="s">
        <v>83</v>
      </c>
      <c r="F29" s="3" t="s">
        <v>199</v>
      </c>
      <c r="G29" s="3" t="s">
        <v>200</v>
      </c>
      <c r="H29" s="3" t="s">
        <v>45</v>
      </c>
      <c r="I29" s="3" t="s">
        <v>46</v>
      </c>
      <c r="J29" s="3" t="s">
        <v>92</v>
      </c>
      <c r="K29" s="3" t="s">
        <v>114</v>
      </c>
      <c r="L29" s="3" t="s">
        <v>239</v>
      </c>
      <c r="M29" s="3" t="s">
        <v>61</v>
      </c>
      <c r="N29" s="3" t="s">
        <v>61</v>
      </c>
      <c r="O29" s="3" t="s">
        <v>137</v>
      </c>
      <c r="P29" s="3" t="s">
        <v>240</v>
      </c>
      <c r="Q29" s="3" t="s">
        <v>54</v>
      </c>
      <c r="R29" s="3" t="s">
        <v>55</v>
      </c>
      <c r="S29" s="3" t="s">
        <v>116</v>
      </c>
      <c r="T29" s="3" t="s">
        <v>117</v>
      </c>
      <c r="U29" s="3" t="s">
        <v>117</v>
      </c>
      <c r="V29" s="3" t="s">
        <v>117</v>
      </c>
      <c r="W29" s="3" t="s">
        <v>66</v>
      </c>
      <c r="X29" s="3" t="s">
        <v>66</v>
      </c>
      <c r="Y29" s="3" t="s">
        <v>118</v>
      </c>
      <c r="Z29" s="3" t="s">
        <v>119</v>
      </c>
      <c r="AA29" s="3" t="s">
        <v>120</v>
      </c>
      <c r="AB29" s="3" t="s">
        <v>121</v>
      </c>
      <c r="AC29" s="3" t="s">
        <v>122</v>
      </c>
      <c r="AD29" s="3" t="s">
        <v>123</v>
      </c>
      <c r="AE29" s="3" t="s">
        <v>72</v>
      </c>
      <c r="AF29" s="3" t="s">
        <v>124</v>
      </c>
      <c r="AG29" s="3" t="s">
        <v>125</v>
      </c>
      <c r="AH29" s="3" t="s">
        <v>126</v>
      </c>
      <c r="AI29" s="3" t="s">
        <v>127</v>
      </c>
      <c r="AJ29" s="3" t="s">
        <v>128</v>
      </c>
      <c r="AK29" s="4" t="s">
        <v>129</v>
      </c>
      <c r="AL29" s="3" t="s">
        <v>130</v>
      </c>
    </row>
    <row r="30" customFormat="false" ht="15" hidden="false" customHeight="true" outlineLevel="0" collapsed="false">
      <c r="A30" s="3" t="s">
        <v>241</v>
      </c>
      <c r="B30" s="3" t="s">
        <v>117</v>
      </c>
      <c r="C30" s="3" t="s">
        <v>132</v>
      </c>
      <c r="D30" s="3" t="s">
        <v>41</v>
      </c>
      <c r="E30" s="3" t="s">
        <v>83</v>
      </c>
      <c r="F30" s="3" t="s">
        <v>199</v>
      </c>
      <c r="G30" s="3" t="s">
        <v>200</v>
      </c>
      <c r="H30" s="3" t="s">
        <v>45</v>
      </c>
      <c r="I30" s="3" t="s">
        <v>46</v>
      </c>
      <c r="J30" s="3" t="s">
        <v>47</v>
      </c>
      <c r="K30" s="3" t="s">
        <v>135</v>
      </c>
      <c r="L30" s="3" t="s">
        <v>239</v>
      </c>
      <c r="M30" s="3" t="s">
        <v>61</v>
      </c>
      <c r="N30" s="3" t="s">
        <v>62</v>
      </c>
      <c r="O30" s="3" t="s">
        <v>52</v>
      </c>
      <c r="P30" s="3" t="s">
        <v>242</v>
      </c>
      <c r="Q30" s="3" t="s">
        <v>64</v>
      </c>
      <c r="R30" s="3" t="s">
        <v>55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customFormat="false" ht="15" hidden="false" customHeight="true" outlineLevel="0" collapsed="false">
      <c r="A31" s="3" t="s">
        <v>243</v>
      </c>
      <c r="B31" s="3" t="s">
        <v>117</v>
      </c>
      <c r="C31" s="3" t="s">
        <v>141</v>
      </c>
      <c r="D31" s="3" t="s">
        <v>58</v>
      </c>
      <c r="E31" s="3" t="s">
        <v>42</v>
      </c>
      <c r="F31" s="3" t="s">
        <v>142</v>
      </c>
      <c r="G31" s="3" t="s">
        <v>143</v>
      </c>
      <c r="H31" s="3" t="s">
        <v>45</v>
      </c>
      <c r="I31" s="3" t="s">
        <v>46</v>
      </c>
      <c r="J31" s="3" t="s">
        <v>59</v>
      </c>
      <c r="K31" s="3" t="s">
        <v>144</v>
      </c>
      <c r="L31" s="3" t="s">
        <v>244</v>
      </c>
      <c r="M31" s="3" t="s">
        <v>202</v>
      </c>
      <c r="N31" s="3" t="s">
        <v>203</v>
      </c>
      <c r="O31" s="3" t="s">
        <v>168</v>
      </c>
      <c r="P31" s="3" t="s">
        <v>245</v>
      </c>
      <c r="Q31" s="3" t="s">
        <v>92</v>
      </c>
      <c r="R31" s="3" t="s">
        <v>139</v>
      </c>
      <c r="S31" s="3" t="s">
        <v>65</v>
      </c>
      <c r="T31" s="3" t="s">
        <v>39</v>
      </c>
      <c r="U31" s="3" t="s">
        <v>39</v>
      </c>
      <c r="V31" s="3" t="s">
        <v>39</v>
      </c>
      <c r="W31" s="3" t="s">
        <v>66</v>
      </c>
      <c r="X31" s="3" t="s">
        <v>66</v>
      </c>
      <c r="Y31" s="3" t="s">
        <v>67</v>
      </c>
      <c r="Z31" s="3" t="s">
        <v>68</v>
      </c>
      <c r="AA31" s="3" t="s">
        <v>69</v>
      </c>
      <c r="AB31" s="3" t="s">
        <v>60</v>
      </c>
      <c r="AC31" s="3" t="s">
        <v>70</v>
      </c>
      <c r="AD31" s="3" t="s">
        <v>71</v>
      </c>
      <c r="AE31" s="3" t="s">
        <v>72</v>
      </c>
      <c r="AF31" s="3" t="s">
        <v>73</v>
      </c>
      <c r="AG31" s="3" t="s">
        <v>74</v>
      </c>
      <c r="AH31" s="3" t="s">
        <v>75</v>
      </c>
      <c r="AI31" s="3" t="s">
        <v>76</v>
      </c>
      <c r="AJ31" s="3" t="s">
        <v>77</v>
      </c>
      <c r="AK31" s="4" t="s">
        <v>78</v>
      </c>
      <c r="AL31" s="3" t="s">
        <v>79</v>
      </c>
    </row>
    <row r="32" customFormat="false" ht="15" hidden="false" customHeight="true" outlineLevel="0" collapsed="false">
      <c r="A32" s="3" t="s">
        <v>246</v>
      </c>
      <c r="B32" s="3" t="s">
        <v>117</v>
      </c>
      <c r="C32" s="3" t="s">
        <v>150</v>
      </c>
      <c r="D32" s="3" t="s">
        <v>82</v>
      </c>
      <c r="E32" s="3" t="s">
        <v>83</v>
      </c>
      <c r="F32" s="3" t="s">
        <v>152</v>
      </c>
      <c r="G32" s="3" t="s">
        <v>153</v>
      </c>
      <c r="H32" s="3" t="s">
        <v>45</v>
      </c>
      <c r="I32" s="3" t="s">
        <v>46</v>
      </c>
      <c r="J32" s="3" t="s">
        <v>86</v>
      </c>
      <c r="K32" s="3" t="s">
        <v>154</v>
      </c>
      <c r="L32" s="3" t="s">
        <v>247</v>
      </c>
      <c r="M32" s="3" t="s">
        <v>89</v>
      </c>
      <c r="N32" s="3" t="s">
        <v>154</v>
      </c>
      <c r="O32" s="3" t="s">
        <v>168</v>
      </c>
      <c r="P32" s="3" t="s">
        <v>248</v>
      </c>
      <c r="Q32" s="3" t="s">
        <v>54</v>
      </c>
      <c r="R32" s="3" t="s">
        <v>139</v>
      </c>
      <c r="S32" s="3" t="s">
        <v>93</v>
      </c>
      <c r="T32" s="3" t="s">
        <v>94</v>
      </c>
      <c r="U32" s="3" t="s">
        <v>94</v>
      </c>
      <c r="V32" s="3" t="s">
        <v>94</v>
      </c>
      <c r="W32" s="3" t="s">
        <v>94</v>
      </c>
      <c r="X32" s="3" t="s">
        <v>94</v>
      </c>
      <c r="Y32" s="3" t="s">
        <v>95</v>
      </c>
      <c r="Z32" s="3" t="s">
        <v>96</v>
      </c>
      <c r="AA32" s="3" t="s">
        <v>97</v>
      </c>
      <c r="AB32" s="3" t="s">
        <v>98</v>
      </c>
      <c r="AC32" s="3" t="s">
        <v>99</v>
      </c>
      <c r="AD32" s="3" t="s">
        <v>100</v>
      </c>
      <c r="AE32" s="3" t="s">
        <v>101</v>
      </c>
      <c r="AF32" s="3" t="s">
        <v>102</v>
      </c>
      <c r="AG32" s="3" t="s">
        <v>103</v>
      </c>
      <c r="AH32" s="3" t="s">
        <v>104</v>
      </c>
      <c r="AI32" s="3" t="s">
        <v>105</v>
      </c>
      <c r="AJ32" s="3" t="s">
        <v>106</v>
      </c>
      <c r="AK32" s="4" t="s">
        <v>107</v>
      </c>
      <c r="AL32" s="3" t="s">
        <v>108</v>
      </c>
    </row>
    <row r="33" customFormat="false" ht="15" hidden="false" customHeight="true" outlineLevel="0" collapsed="false">
      <c r="A33" s="3" t="s">
        <v>249</v>
      </c>
      <c r="B33" s="3" t="s">
        <v>117</v>
      </c>
      <c r="C33" s="3" t="s">
        <v>160</v>
      </c>
      <c r="D33" s="3"/>
      <c r="E33" s="3" t="s">
        <v>111</v>
      </c>
      <c r="F33" s="3" t="s">
        <v>161</v>
      </c>
      <c r="G33" s="3" t="s">
        <v>162</v>
      </c>
      <c r="H33" s="3" t="s">
        <v>45</v>
      </c>
      <c r="I33" s="3" t="s">
        <v>46</v>
      </c>
      <c r="J33" s="3" t="s">
        <v>92</v>
      </c>
      <c r="K33" s="3" t="s">
        <v>48</v>
      </c>
      <c r="L33" s="3" t="s">
        <v>250</v>
      </c>
      <c r="M33" s="3" t="s">
        <v>196</v>
      </c>
      <c r="N33" s="3" t="s">
        <v>87</v>
      </c>
      <c r="O33" s="3" t="s">
        <v>168</v>
      </c>
      <c r="P33" s="3" t="s">
        <v>251</v>
      </c>
      <c r="Q33" s="3" t="s">
        <v>64</v>
      </c>
      <c r="R33" s="3" t="s">
        <v>139</v>
      </c>
      <c r="S33" s="3" t="s">
        <v>116</v>
      </c>
      <c r="T33" s="3" t="s">
        <v>117</v>
      </c>
      <c r="U33" s="3" t="s">
        <v>117</v>
      </c>
      <c r="V33" s="3" t="s">
        <v>117</v>
      </c>
      <c r="W33" s="3" t="s">
        <v>66</v>
      </c>
      <c r="X33" s="3" t="s">
        <v>66</v>
      </c>
      <c r="Y33" s="3" t="s">
        <v>118</v>
      </c>
      <c r="Z33" s="3" t="s">
        <v>119</v>
      </c>
      <c r="AA33" s="3" t="s">
        <v>120</v>
      </c>
      <c r="AB33" s="3" t="s">
        <v>121</v>
      </c>
      <c r="AC33" s="3" t="s">
        <v>122</v>
      </c>
      <c r="AD33" s="3" t="s">
        <v>123</v>
      </c>
      <c r="AE33" s="3" t="s">
        <v>72</v>
      </c>
      <c r="AF33" s="3" t="s">
        <v>124</v>
      </c>
      <c r="AG33" s="3" t="s">
        <v>125</v>
      </c>
      <c r="AH33" s="3" t="s">
        <v>126</v>
      </c>
      <c r="AI33" s="3" t="s">
        <v>127</v>
      </c>
      <c r="AJ33" s="3" t="s">
        <v>128</v>
      </c>
      <c r="AK33" s="4" t="s">
        <v>129</v>
      </c>
      <c r="AL33" s="3" t="s">
        <v>130</v>
      </c>
    </row>
    <row r="34" customFormat="false" ht="15" hidden="false" customHeight="true" outlineLevel="0" collapsed="false">
      <c r="A34" s="3" t="s">
        <v>252</v>
      </c>
      <c r="B34" s="3" t="s">
        <v>117</v>
      </c>
      <c r="C34" s="3" t="s">
        <v>40</v>
      </c>
      <c r="D34" s="3" t="s">
        <v>41</v>
      </c>
      <c r="E34" s="3" t="s">
        <v>42</v>
      </c>
      <c r="F34" s="3" t="s">
        <v>171</v>
      </c>
      <c r="G34" s="3" t="s">
        <v>172</v>
      </c>
      <c r="H34" s="3" t="s">
        <v>45</v>
      </c>
      <c r="I34" s="3" t="s">
        <v>46</v>
      </c>
      <c r="J34" s="3" t="s">
        <v>47</v>
      </c>
      <c r="K34" s="3" t="s">
        <v>87</v>
      </c>
      <c r="L34" s="3" t="s">
        <v>253</v>
      </c>
      <c r="M34" s="3" t="s">
        <v>50</v>
      </c>
      <c r="N34" s="3" t="s">
        <v>51</v>
      </c>
      <c r="O34" s="3" t="s">
        <v>52</v>
      </c>
      <c r="P34" s="3" t="s">
        <v>254</v>
      </c>
      <c r="Q34" s="3" t="s">
        <v>92</v>
      </c>
      <c r="R34" s="3" t="s">
        <v>176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customFormat="false" ht="15" hidden="false" customHeight="true" outlineLevel="0" collapsed="false">
      <c r="A35" s="3" t="s">
        <v>255</v>
      </c>
      <c r="B35" s="3" t="s">
        <v>117</v>
      </c>
      <c r="C35" s="3" t="s">
        <v>57</v>
      </c>
      <c r="D35" s="3" t="s">
        <v>58</v>
      </c>
      <c r="E35" s="3" t="s">
        <v>42</v>
      </c>
      <c r="F35" s="3" t="s">
        <v>171</v>
      </c>
      <c r="G35" s="3" t="s">
        <v>172</v>
      </c>
      <c r="H35" s="3" t="s">
        <v>45</v>
      </c>
      <c r="I35" s="3" t="s">
        <v>46</v>
      </c>
      <c r="J35" s="3" t="s">
        <v>59</v>
      </c>
      <c r="K35" s="3" t="s">
        <v>114</v>
      </c>
      <c r="L35" s="3" t="s">
        <v>253</v>
      </c>
      <c r="M35" s="3" t="s">
        <v>61</v>
      </c>
      <c r="N35" s="3" t="s">
        <v>62</v>
      </c>
      <c r="O35" s="3" t="s">
        <v>52</v>
      </c>
      <c r="P35" s="3" t="s">
        <v>242</v>
      </c>
      <c r="Q35" s="3" t="s">
        <v>54</v>
      </c>
      <c r="R35" s="3" t="s">
        <v>176</v>
      </c>
      <c r="S35" s="3" t="s">
        <v>65</v>
      </c>
      <c r="T35" s="3" t="s">
        <v>39</v>
      </c>
      <c r="U35" s="3" t="s">
        <v>39</v>
      </c>
      <c r="V35" s="3" t="s">
        <v>39</v>
      </c>
      <c r="W35" s="3" t="s">
        <v>66</v>
      </c>
      <c r="X35" s="3" t="s">
        <v>66</v>
      </c>
      <c r="Y35" s="3" t="s">
        <v>67</v>
      </c>
      <c r="Z35" s="3" t="s">
        <v>68</v>
      </c>
      <c r="AA35" s="3" t="s">
        <v>69</v>
      </c>
      <c r="AB35" s="3" t="s">
        <v>60</v>
      </c>
      <c r="AC35" s="3" t="s">
        <v>70</v>
      </c>
      <c r="AD35" s="3" t="s">
        <v>71</v>
      </c>
      <c r="AE35" s="3" t="s">
        <v>72</v>
      </c>
      <c r="AF35" s="3" t="s">
        <v>73</v>
      </c>
      <c r="AG35" s="3" t="s">
        <v>74</v>
      </c>
      <c r="AH35" s="3" t="s">
        <v>75</v>
      </c>
      <c r="AI35" s="3" t="s">
        <v>76</v>
      </c>
      <c r="AJ35" s="3" t="s">
        <v>77</v>
      </c>
      <c r="AK35" s="4" t="s">
        <v>78</v>
      </c>
      <c r="AL35" s="3" t="s">
        <v>79</v>
      </c>
    </row>
    <row r="36" customFormat="false" ht="15" hidden="false" customHeight="true" outlineLevel="0" collapsed="false">
      <c r="A36" s="3" t="s">
        <v>256</v>
      </c>
      <c r="B36" s="3" t="s">
        <v>117</v>
      </c>
      <c r="C36" s="3" t="s">
        <v>81</v>
      </c>
      <c r="D36" s="3" t="s">
        <v>82</v>
      </c>
      <c r="E36" s="3" t="s">
        <v>83</v>
      </c>
      <c r="F36" s="3" t="s">
        <v>219</v>
      </c>
      <c r="G36" s="3" t="s">
        <v>220</v>
      </c>
      <c r="H36" s="3" t="s">
        <v>45</v>
      </c>
      <c r="I36" s="3" t="s">
        <v>46</v>
      </c>
      <c r="J36" s="3" t="s">
        <v>86</v>
      </c>
      <c r="K36" s="3" t="s">
        <v>135</v>
      </c>
      <c r="L36" s="3" t="s">
        <v>257</v>
      </c>
      <c r="M36" s="3" t="s">
        <v>89</v>
      </c>
      <c r="N36" s="3" t="s">
        <v>90</v>
      </c>
      <c r="O36" s="3" t="s">
        <v>52</v>
      </c>
      <c r="P36" s="3" t="s">
        <v>258</v>
      </c>
      <c r="Q36" s="3" t="s">
        <v>64</v>
      </c>
      <c r="R36" s="3" t="s">
        <v>176</v>
      </c>
      <c r="S36" s="3" t="s">
        <v>93</v>
      </c>
      <c r="T36" s="3" t="s">
        <v>94</v>
      </c>
      <c r="U36" s="3" t="s">
        <v>94</v>
      </c>
      <c r="V36" s="3" t="s">
        <v>94</v>
      </c>
      <c r="W36" s="3" t="s">
        <v>94</v>
      </c>
      <c r="X36" s="3" t="s">
        <v>94</v>
      </c>
      <c r="Y36" s="3" t="s">
        <v>95</v>
      </c>
      <c r="Z36" s="3" t="s">
        <v>96</v>
      </c>
      <c r="AA36" s="3" t="s">
        <v>97</v>
      </c>
      <c r="AB36" s="3" t="s">
        <v>98</v>
      </c>
      <c r="AC36" s="3" t="s">
        <v>99</v>
      </c>
      <c r="AD36" s="3" t="s">
        <v>100</v>
      </c>
      <c r="AE36" s="3" t="s">
        <v>101</v>
      </c>
      <c r="AF36" s="3" t="s">
        <v>102</v>
      </c>
      <c r="AG36" s="3" t="s">
        <v>103</v>
      </c>
      <c r="AH36" s="3" t="s">
        <v>104</v>
      </c>
      <c r="AI36" s="3" t="s">
        <v>105</v>
      </c>
      <c r="AJ36" s="3" t="s">
        <v>106</v>
      </c>
      <c r="AK36" s="4" t="s">
        <v>107</v>
      </c>
      <c r="AL36" s="3" t="s">
        <v>108</v>
      </c>
    </row>
    <row r="37" customFormat="false" ht="15" hidden="false" customHeight="true" outlineLevel="0" collapsed="false">
      <c r="A37" s="3" t="s">
        <v>259</v>
      </c>
      <c r="B37" s="3" t="s">
        <v>117</v>
      </c>
      <c r="C37" s="3" t="s">
        <v>110</v>
      </c>
      <c r="D37" s="3"/>
      <c r="E37" s="3" t="s">
        <v>111</v>
      </c>
      <c r="F37" s="3" t="s">
        <v>178</v>
      </c>
      <c r="G37" s="3" t="s">
        <v>179</v>
      </c>
      <c r="H37" s="3" t="s">
        <v>45</v>
      </c>
      <c r="I37" s="3" t="s">
        <v>46</v>
      </c>
      <c r="J37" s="3" t="s">
        <v>92</v>
      </c>
      <c r="K37" s="3" t="s">
        <v>144</v>
      </c>
      <c r="L37" s="3" t="s">
        <v>260</v>
      </c>
      <c r="M37" s="3" t="s">
        <v>61</v>
      </c>
      <c r="N37" s="3" t="s">
        <v>62</v>
      </c>
      <c r="O37" s="3" t="s">
        <v>52</v>
      </c>
      <c r="P37" s="3" t="s">
        <v>242</v>
      </c>
      <c r="Q37" s="3" t="s">
        <v>92</v>
      </c>
      <c r="R37" s="3" t="s">
        <v>176</v>
      </c>
      <c r="S37" s="3" t="s">
        <v>116</v>
      </c>
      <c r="T37" s="3" t="s">
        <v>117</v>
      </c>
      <c r="U37" s="3" t="s">
        <v>117</v>
      </c>
      <c r="V37" s="3" t="s">
        <v>117</v>
      </c>
      <c r="W37" s="3" t="s">
        <v>66</v>
      </c>
      <c r="X37" s="3" t="s">
        <v>66</v>
      </c>
      <c r="Y37" s="3" t="s">
        <v>118</v>
      </c>
      <c r="Z37" s="3" t="s">
        <v>119</v>
      </c>
      <c r="AA37" s="3" t="s">
        <v>120</v>
      </c>
      <c r="AB37" s="3" t="s">
        <v>121</v>
      </c>
      <c r="AC37" s="3" t="s">
        <v>122</v>
      </c>
      <c r="AD37" s="3" t="s">
        <v>123</v>
      </c>
      <c r="AE37" s="3" t="s">
        <v>72</v>
      </c>
      <c r="AF37" s="3" t="s">
        <v>124</v>
      </c>
      <c r="AG37" s="3" t="s">
        <v>125</v>
      </c>
      <c r="AH37" s="3" t="s">
        <v>126</v>
      </c>
      <c r="AI37" s="3" t="s">
        <v>127</v>
      </c>
      <c r="AJ37" s="3" t="s">
        <v>128</v>
      </c>
      <c r="AK37" s="4" t="s">
        <v>129</v>
      </c>
      <c r="AL37" s="3" t="s">
        <v>130</v>
      </c>
    </row>
    <row r="38" customFormat="false" ht="15" hidden="false" customHeight="true" outlineLevel="0" collapsed="false">
      <c r="A38" s="3" t="s">
        <v>261</v>
      </c>
      <c r="B38" s="3" t="s">
        <v>262</v>
      </c>
      <c r="C38" s="3" t="s">
        <v>132</v>
      </c>
      <c r="D38" s="3" t="s">
        <v>41</v>
      </c>
      <c r="E38" s="3" t="s">
        <v>151</v>
      </c>
      <c r="F38" s="3" t="s">
        <v>43</v>
      </c>
      <c r="G38" s="3" t="s">
        <v>44</v>
      </c>
      <c r="H38" s="3" t="s">
        <v>45</v>
      </c>
      <c r="I38" s="3" t="s">
        <v>46</v>
      </c>
      <c r="J38" s="3" t="s">
        <v>47</v>
      </c>
      <c r="K38" s="3" t="s">
        <v>48</v>
      </c>
      <c r="L38" s="3" t="s">
        <v>263</v>
      </c>
      <c r="M38" s="3" t="s">
        <v>156</v>
      </c>
      <c r="N38" s="3" t="s">
        <v>156</v>
      </c>
      <c r="O38" s="3" t="s">
        <v>52</v>
      </c>
      <c r="P38" s="3" t="s">
        <v>264</v>
      </c>
      <c r="Q38" s="3" t="s">
        <v>54</v>
      </c>
      <c r="R38" s="3" t="s">
        <v>158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customFormat="false" ht="15" hidden="false" customHeight="true" outlineLevel="0" collapsed="false">
      <c r="A39" s="3" t="s">
        <v>265</v>
      </c>
      <c r="B39" s="3" t="s">
        <v>262</v>
      </c>
      <c r="C39" s="3" t="s">
        <v>141</v>
      </c>
      <c r="D39" s="3" t="s">
        <v>58</v>
      </c>
      <c r="E39" s="3" t="s">
        <v>42</v>
      </c>
      <c r="F39" s="3" t="s">
        <v>84</v>
      </c>
      <c r="G39" s="3" t="s">
        <v>85</v>
      </c>
      <c r="H39" s="3" t="s">
        <v>45</v>
      </c>
      <c r="I39" s="3" t="s">
        <v>46</v>
      </c>
      <c r="J39" s="3" t="s">
        <v>59</v>
      </c>
      <c r="K39" s="3" t="s">
        <v>60</v>
      </c>
      <c r="L39" s="3" t="s">
        <v>266</v>
      </c>
      <c r="M39" s="3" t="s">
        <v>164</v>
      </c>
      <c r="N39" s="3" t="s">
        <v>165</v>
      </c>
      <c r="O39" s="3" t="s">
        <v>52</v>
      </c>
      <c r="P39" s="3" t="s">
        <v>267</v>
      </c>
      <c r="Q39" s="3" t="s">
        <v>64</v>
      </c>
      <c r="R39" s="3" t="s">
        <v>55</v>
      </c>
      <c r="S39" s="3" t="s">
        <v>65</v>
      </c>
      <c r="T39" s="3" t="s">
        <v>39</v>
      </c>
      <c r="U39" s="3" t="s">
        <v>39</v>
      </c>
      <c r="V39" s="3" t="s">
        <v>39</v>
      </c>
      <c r="W39" s="3" t="s">
        <v>66</v>
      </c>
      <c r="X39" s="3" t="s">
        <v>66</v>
      </c>
      <c r="Y39" s="3" t="s">
        <v>67</v>
      </c>
      <c r="Z39" s="3" t="s">
        <v>68</v>
      </c>
      <c r="AA39" s="3" t="s">
        <v>69</v>
      </c>
      <c r="AB39" s="3" t="s">
        <v>60</v>
      </c>
      <c r="AC39" s="3" t="s">
        <v>70</v>
      </c>
      <c r="AD39" s="3" t="s">
        <v>71</v>
      </c>
      <c r="AE39" s="3" t="s">
        <v>72</v>
      </c>
      <c r="AF39" s="3" t="s">
        <v>73</v>
      </c>
      <c r="AG39" s="3" t="s">
        <v>74</v>
      </c>
      <c r="AH39" s="3" t="s">
        <v>75</v>
      </c>
      <c r="AI39" s="3" t="s">
        <v>76</v>
      </c>
      <c r="AJ39" s="3" t="s">
        <v>77</v>
      </c>
      <c r="AK39" s="4" t="s">
        <v>78</v>
      </c>
      <c r="AL39" s="3" t="s">
        <v>79</v>
      </c>
    </row>
    <row r="40" customFormat="false" ht="15" hidden="false" customHeight="true" outlineLevel="0" collapsed="false">
      <c r="A40" s="3" t="s">
        <v>268</v>
      </c>
      <c r="B40" s="3" t="s">
        <v>262</v>
      </c>
      <c r="C40" s="3" t="s">
        <v>150</v>
      </c>
      <c r="D40" s="3" t="s">
        <v>82</v>
      </c>
      <c r="E40" s="3" t="s">
        <v>42</v>
      </c>
      <c r="F40" s="3" t="s">
        <v>84</v>
      </c>
      <c r="G40" s="3" t="s">
        <v>85</v>
      </c>
      <c r="H40" s="3" t="s">
        <v>45</v>
      </c>
      <c r="I40" s="3" t="s">
        <v>46</v>
      </c>
      <c r="J40" s="3" t="s">
        <v>86</v>
      </c>
      <c r="K40" s="3" t="s">
        <v>154</v>
      </c>
      <c r="L40" s="3" t="s">
        <v>266</v>
      </c>
      <c r="M40" s="3" t="s">
        <v>61</v>
      </c>
      <c r="N40" s="3" t="s">
        <v>114</v>
      </c>
      <c r="O40" s="3" t="s">
        <v>168</v>
      </c>
      <c r="P40" s="3" t="s">
        <v>269</v>
      </c>
      <c r="Q40" s="3" t="s">
        <v>92</v>
      </c>
      <c r="R40" s="3" t="s">
        <v>55</v>
      </c>
      <c r="S40" s="3" t="s">
        <v>93</v>
      </c>
      <c r="T40" s="3" t="s">
        <v>94</v>
      </c>
      <c r="U40" s="3" t="s">
        <v>94</v>
      </c>
      <c r="V40" s="3" t="s">
        <v>94</v>
      </c>
      <c r="W40" s="3" t="s">
        <v>94</v>
      </c>
      <c r="X40" s="3" t="s">
        <v>94</v>
      </c>
      <c r="Y40" s="3" t="s">
        <v>95</v>
      </c>
      <c r="Z40" s="3" t="s">
        <v>96</v>
      </c>
      <c r="AA40" s="3" t="s">
        <v>97</v>
      </c>
      <c r="AB40" s="3" t="s">
        <v>98</v>
      </c>
      <c r="AC40" s="3" t="s">
        <v>99</v>
      </c>
      <c r="AD40" s="3" t="s">
        <v>100</v>
      </c>
      <c r="AE40" s="3" t="s">
        <v>101</v>
      </c>
      <c r="AF40" s="3" t="s">
        <v>102</v>
      </c>
      <c r="AG40" s="3" t="s">
        <v>103</v>
      </c>
      <c r="AH40" s="3" t="s">
        <v>104</v>
      </c>
      <c r="AI40" s="3" t="s">
        <v>105</v>
      </c>
      <c r="AJ40" s="3" t="s">
        <v>106</v>
      </c>
      <c r="AK40" s="4" t="s">
        <v>107</v>
      </c>
      <c r="AL40" s="3" t="s">
        <v>108</v>
      </c>
    </row>
    <row r="41" customFormat="false" ht="15" hidden="false" customHeight="true" outlineLevel="0" collapsed="false">
      <c r="A41" s="3" t="s">
        <v>270</v>
      </c>
      <c r="B41" s="3" t="s">
        <v>262</v>
      </c>
      <c r="C41" s="3" t="s">
        <v>160</v>
      </c>
      <c r="D41" s="3"/>
      <c r="E41" s="3" t="s">
        <v>83</v>
      </c>
      <c r="F41" s="3" t="s">
        <v>112</v>
      </c>
      <c r="G41" s="3" t="s">
        <v>113</v>
      </c>
      <c r="H41" s="3" t="s">
        <v>45</v>
      </c>
      <c r="I41" s="3" t="s">
        <v>46</v>
      </c>
      <c r="J41" s="3" t="s">
        <v>92</v>
      </c>
      <c r="K41" s="3" t="s">
        <v>48</v>
      </c>
      <c r="L41" s="3" t="s">
        <v>271</v>
      </c>
      <c r="M41" s="3" t="s">
        <v>89</v>
      </c>
      <c r="N41" s="3" t="s">
        <v>89</v>
      </c>
      <c r="O41" s="3" t="s">
        <v>137</v>
      </c>
      <c r="P41" s="3" t="s">
        <v>272</v>
      </c>
      <c r="Q41" s="3" t="s">
        <v>54</v>
      </c>
      <c r="R41" s="3" t="s">
        <v>55</v>
      </c>
      <c r="S41" s="3" t="s">
        <v>116</v>
      </c>
      <c r="T41" s="3" t="s">
        <v>117</v>
      </c>
      <c r="U41" s="3" t="s">
        <v>117</v>
      </c>
      <c r="V41" s="3" t="s">
        <v>117</v>
      </c>
      <c r="W41" s="3" t="s">
        <v>66</v>
      </c>
      <c r="X41" s="3" t="s">
        <v>66</v>
      </c>
      <c r="Y41" s="3" t="s">
        <v>118</v>
      </c>
      <c r="Z41" s="3" t="s">
        <v>119</v>
      </c>
      <c r="AA41" s="3" t="s">
        <v>120</v>
      </c>
      <c r="AB41" s="3" t="s">
        <v>121</v>
      </c>
      <c r="AC41" s="3" t="s">
        <v>122</v>
      </c>
      <c r="AD41" s="3" t="s">
        <v>123</v>
      </c>
      <c r="AE41" s="3" t="s">
        <v>72</v>
      </c>
      <c r="AF41" s="3" t="s">
        <v>124</v>
      </c>
      <c r="AG41" s="3" t="s">
        <v>125</v>
      </c>
      <c r="AH41" s="3" t="s">
        <v>126</v>
      </c>
      <c r="AI41" s="3" t="s">
        <v>127</v>
      </c>
      <c r="AJ41" s="3" t="s">
        <v>128</v>
      </c>
      <c r="AK41" s="4" t="s">
        <v>129</v>
      </c>
      <c r="AL41" s="3" t="s">
        <v>130</v>
      </c>
    </row>
    <row r="42" customFormat="false" ht="15" hidden="false" customHeight="true" outlineLevel="0" collapsed="false">
      <c r="A42" s="3" t="s">
        <v>273</v>
      </c>
      <c r="B42" s="3" t="s">
        <v>262</v>
      </c>
      <c r="C42" s="3" t="s">
        <v>40</v>
      </c>
      <c r="D42" s="3" t="s">
        <v>41</v>
      </c>
      <c r="E42" s="3" t="s">
        <v>111</v>
      </c>
      <c r="F42" s="3" t="s">
        <v>199</v>
      </c>
      <c r="G42" s="3" t="s">
        <v>200</v>
      </c>
      <c r="H42" s="3" t="s">
        <v>45</v>
      </c>
      <c r="I42" s="3" t="s">
        <v>46</v>
      </c>
      <c r="J42" s="3" t="s">
        <v>47</v>
      </c>
      <c r="K42" s="3" t="s">
        <v>135</v>
      </c>
      <c r="L42" s="3" t="s">
        <v>274</v>
      </c>
      <c r="M42" s="3" t="s">
        <v>146</v>
      </c>
      <c r="N42" s="3" t="s">
        <v>147</v>
      </c>
      <c r="O42" s="3" t="s">
        <v>52</v>
      </c>
      <c r="P42" s="3" t="s">
        <v>275</v>
      </c>
      <c r="Q42" s="3" t="s">
        <v>64</v>
      </c>
      <c r="R42" s="3" t="s">
        <v>55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customFormat="false" ht="15" hidden="false" customHeight="true" outlineLevel="0" collapsed="false">
      <c r="A43" s="3" t="s">
        <v>276</v>
      </c>
      <c r="B43" s="3" t="s">
        <v>262</v>
      </c>
      <c r="C43" s="3" t="s">
        <v>57</v>
      </c>
      <c r="D43" s="3" t="s">
        <v>58</v>
      </c>
      <c r="E43" s="3" t="s">
        <v>42</v>
      </c>
      <c r="F43" s="3" t="s">
        <v>133</v>
      </c>
      <c r="G43" s="3" t="s">
        <v>134</v>
      </c>
      <c r="H43" s="3" t="s">
        <v>45</v>
      </c>
      <c r="I43" s="3" t="s">
        <v>46</v>
      </c>
      <c r="J43" s="3" t="s">
        <v>59</v>
      </c>
      <c r="K43" s="3" t="s">
        <v>144</v>
      </c>
      <c r="L43" s="3" t="s">
        <v>277</v>
      </c>
      <c r="M43" s="3" t="s">
        <v>181</v>
      </c>
      <c r="N43" s="3" t="s">
        <v>181</v>
      </c>
      <c r="O43" s="3" t="s">
        <v>137</v>
      </c>
      <c r="P43" s="3" t="s">
        <v>278</v>
      </c>
      <c r="Q43" s="3" t="s">
        <v>92</v>
      </c>
      <c r="R43" s="3" t="s">
        <v>139</v>
      </c>
      <c r="S43" s="3" t="s">
        <v>65</v>
      </c>
      <c r="T43" s="3" t="s">
        <v>39</v>
      </c>
      <c r="U43" s="3" t="s">
        <v>39</v>
      </c>
      <c r="V43" s="3" t="s">
        <v>39</v>
      </c>
      <c r="W43" s="3" t="s">
        <v>66</v>
      </c>
      <c r="X43" s="3" t="s">
        <v>66</v>
      </c>
      <c r="Y43" s="3" t="s">
        <v>67</v>
      </c>
      <c r="Z43" s="3" t="s">
        <v>68</v>
      </c>
      <c r="AA43" s="3" t="s">
        <v>69</v>
      </c>
      <c r="AB43" s="3" t="s">
        <v>60</v>
      </c>
      <c r="AC43" s="3" t="s">
        <v>70</v>
      </c>
      <c r="AD43" s="3" t="s">
        <v>71</v>
      </c>
      <c r="AE43" s="3" t="s">
        <v>72</v>
      </c>
      <c r="AF43" s="3" t="s">
        <v>73</v>
      </c>
      <c r="AG43" s="3" t="s">
        <v>74</v>
      </c>
      <c r="AH43" s="3" t="s">
        <v>75</v>
      </c>
      <c r="AI43" s="3" t="s">
        <v>76</v>
      </c>
      <c r="AJ43" s="3" t="s">
        <v>77</v>
      </c>
      <c r="AK43" s="4" t="s">
        <v>78</v>
      </c>
      <c r="AL43" s="3" t="s">
        <v>79</v>
      </c>
    </row>
    <row r="44" customFormat="false" ht="15" hidden="false" customHeight="true" outlineLevel="0" collapsed="false">
      <c r="A44" s="3" t="s">
        <v>279</v>
      </c>
      <c r="B44" s="3" t="s">
        <v>262</v>
      </c>
      <c r="C44" s="3" t="s">
        <v>81</v>
      </c>
      <c r="D44" s="3" t="s">
        <v>82</v>
      </c>
      <c r="E44" s="3" t="s">
        <v>83</v>
      </c>
      <c r="F44" s="3" t="s">
        <v>142</v>
      </c>
      <c r="G44" s="3" t="s">
        <v>143</v>
      </c>
      <c r="H44" s="3" t="s">
        <v>45</v>
      </c>
      <c r="I44" s="3" t="s">
        <v>46</v>
      </c>
      <c r="J44" s="3" t="s">
        <v>86</v>
      </c>
      <c r="K44" s="3" t="s">
        <v>48</v>
      </c>
      <c r="L44" s="3" t="s">
        <v>280</v>
      </c>
      <c r="M44" s="3" t="s">
        <v>61</v>
      </c>
      <c r="N44" s="3" t="s">
        <v>61</v>
      </c>
      <c r="O44" s="3" t="s">
        <v>137</v>
      </c>
      <c r="P44" s="3" t="s">
        <v>281</v>
      </c>
      <c r="Q44" s="3" t="s">
        <v>54</v>
      </c>
      <c r="R44" s="3" t="s">
        <v>139</v>
      </c>
      <c r="S44" s="3" t="s">
        <v>93</v>
      </c>
      <c r="T44" s="3" t="s">
        <v>94</v>
      </c>
      <c r="U44" s="3" t="s">
        <v>94</v>
      </c>
      <c r="V44" s="3" t="s">
        <v>94</v>
      </c>
      <c r="W44" s="3" t="s">
        <v>94</v>
      </c>
      <c r="X44" s="3" t="s">
        <v>94</v>
      </c>
      <c r="Y44" s="3" t="s">
        <v>95</v>
      </c>
      <c r="Z44" s="3" t="s">
        <v>96</v>
      </c>
      <c r="AA44" s="3" t="s">
        <v>97</v>
      </c>
      <c r="AB44" s="3" t="s">
        <v>98</v>
      </c>
      <c r="AC44" s="3" t="s">
        <v>99</v>
      </c>
      <c r="AD44" s="3" t="s">
        <v>100</v>
      </c>
      <c r="AE44" s="3" t="s">
        <v>101</v>
      </c>
      <c r="AF44" s="3" t="s">
        <v>102</v>
      </c>
      <c r="AG44" s="3" t="s">
        <v>103</v>
      </c>
      <c r="AH44" s="3" t="s">
        <v>104</v>
      </c>
      <c r="AI44" s="3" t="s">
        <v>105</v>
      </c>
      <c r="AJ44" s="3" t="s">
        <v>106</v>
      </c>
      <c r="AK44" s="4" t="s">
        <v>107</v>
      </c>
      <c r="AL44" s="3" t="s">
        <v>108</v>
      </c>
    </row>
    <row r="45" customFormat="false" ht="15" hidden="false" customHeight="true" outlineLevel="0" collapsed="false">
      <c r="A45" s="3" t="s">
        <v>282</v>
      </c>
      <c r="B45" s="3" t="s">
        <v>262</v>
      </c>
      <c r="C45" s="3" t="s">
        <v>110</v>
      </c>
      <c r="D45" s="3"/>
      <c r="E45" s="3" t="s">
        <v>83</v>
      </c>
      <c r="F45" s="3" t="s">
        <v>142</v>
      </c>
      <c r="G45" s="3" t="s">
        <v>143</v>
      </c>
      <c r="H45" s="3" t="s">
        <v>45</v>
      </c>
      <c r="I45" s="3" t="s">
        <v>46</v>
      </c>
      <c r="J45" s="3" t="s">
        <v>92</v>
      </c>
      <c r="K45" s="3" t="s">
        <v>60</v>
      </c>
      <c r="L45" s="3" t="s">
        <v>280</v>
      </c>
      <c r="M45" s="3" t="s">
        <v>61</v>
      </c>
      <c r="N45" s="3" t="s">
        <v>62</v>
      </c>
      <c r="O45" s="3" t="s">
        <v>52</v>
      </c>
      <c r="P45" s="3" t="s">
        <v>283</v>
      </c>
      <c r="Q45" s="3" t="s">
        <v>64</v>
      </c>
      <c r="R45" s="3" t="s">
        <v>139</v>
      </c>
      <c r="S45" s="3" t="s">
        <v>116</v>
      </c>
      <c r="T45" s="3" t="s">
        <v>117</v>
      </c>
      <c r="U45" s="3" t="s">
        <v>117</v>
      </c>
      <c r="V45" s="3" t="s">
        <v>117</v>
      </c>
      <c r="W45" s="3" t="s">
        <v>66</v>
      </c>
      <c r="X45" s="3" t="s">
        <v>66</v>
      </c>
      <c r="Y45" s="3" t="s">
        <v>118</v>
      </c>
      <c r="Z45" s="3" t="s">
        <v>119</v>
      </c>
      <c r="AA45" s="3" t="s">
        <v>120</v>
      </c>
      <c r="AB45" s="3" t="s">
        <v>121</v>
      </c>
      <c r="AC45" s="3" t="s">
        <v>122</v>
      </c>
      <c r="AD45" s="3" t="s">
        <v>123</v>
      </c>
      <c r="AE45" s="3" t="s">
        <v>72</v>
      </c>
      <c r="AF45" s="3" t="s">
        <v>124</v>
      </c>
      <c r="AG45" s="3" t="s">
        <v>125</v>
      </c>
      <c r="AH45" s="3" t="s">
        <v>126</v>
      </c>
      <c r="AI45" s="3" t="s">
        <v>127</v>
      </c>
      <c r="AJ45" s="3" t="s">
        <v>128</v>
      </c>
      <c r="AK45" s="4" t="s">
        <v>129</v>
      </c>
      <c r="AL45" s="3" t="s">
        <v>130</v>
      </c>
    </row>
    <row r="46" customFormat="false" ht="15" hidden="false" customHeight="true" outlineLevel="0" collapsed="false">
      <c r="A46" s="3" t="s">
        <v>284</v>
      </c>
      <c r="B46" s="3" t="s">
        <v>262</v>
      </c>
      <c r="C46" s="3" t="s">
        <v>132</v>
      </c>
      <c r="D46" s="3" t="s">
        <v>41</v>
      </c>
      <c r="E46" s="3" t="s">
        <v>111</v>
      </c>
      <c r="F46" s="3" t="s">
        <v>152</v>
      </c>
      <c r="G46" s="3" t="s">
        <v>153</v>
      </c>
      <c r="H46" s="3" t="s">
        <v>45</v>
      </c>
      <c r="I46" s="3" t="s">
        <v>46</v>
      </c>
      <c r="J46" s="3" t="s">
        <v>47</v>
      </c>
      <c r="K46" s="3" t="s">
        <v>87</v>
      </c>
      <c r="L46" s="3" t="s">
        <v>285</v>
      </c>
      <c r="M46" s="3" t="s">
        <v>174</v>
      </c>
      <c r="N46" s="3" t="s">
        <v>174</v>
      </c>
      <c r="O46" s="3" t="s">
        <v>137</v>
      </c>
      <c r="P46" s="3" t="s">
        <v>286</v>
      </c>
      <c r="Q46" s="3" t="s">
        <v>92</v>
      </c>
      <c r="R46" s="3" t="s">
        <v>139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customFormat="false" ht="15" hidden="false" customHeight="true" outlineLevel="0" collapsed="false">
      <c r="A47" s="3" t="s">
        <v>287</v>
      </c>
      <c r="B47" s="3" t="s">
        <v>262</v>
      </c>
      <c r="C47" s="3" t="s">
        <v>141</v>
      </c>
      <c r="D47" s="3" t="s">
        <v>58</v>
      </c>
      <c r="E47" s="3" t="s">
        <v>83</v>
      </c>
      <c r="F47" s="3" t="s">
        <v>171</v>
      </c>
      <c r="G47" s="3" t="s">
        <v>172</v>
      </c>
      <c r="H47" s="3" t="s">
        <v>45</v>
      </c>
      <c r="I47" s="3" t="s">
        <v>46</v>
      </c>
      <c r="J47" s="3" t="s">
        <v>59</v>
      </c>
      <c r="K47" s="3" t="s">
        <v>114</v>
      </c>
      <c r="L47" s="3" t="s">
        <v>288</v>
      </c>
      <c r="M47" s="3" t="s">
        <v>89</v>
      </c>
      <c r="N47" s="3" t="s">
        <v>154</v>
      </c>
      <c r="O47" s="3" t="s">
        <v>168</v>
      </c>
      <c r="P47" s="3" t="s">
        <v>289</v>
      </c>
      <c r="Q47" s="3" t="s">
        <v>54</v>
      </c>
      <c r="R47" s="3" t="s">
        <v>176</v>
      </c>
      <c r="S47" s="3" t="s">
        <v>65</v>
      </c>
      <c r="T47" s="3" t="s">
        <v>39</v>
      </c>
      <c r="U47" s="3" t="s">
        <v>39</v>
      </c>
      <c r="V47" s="3" t="s">
        <v>39</v>
      </c>
      <c r="W47" s="3" t="s">
        <v>66</v>
      </c>
      <c r="X47" s="3" t="s">
        <v>66</v>
      </c>
      <c r="Y47" s="3" t="s">
        <v>67</v>
      </c>
      <c r="Z47" s="3" t="s">
        <v>68</v>
      </c>
      <c r="AA47" s="3" t="s">
        <v>69</v>
      </c>
      <c r="AB47" s="3" t="s">
        <v>60</v>
      </c>
      <c r="AC47" s="3" t="s">
        <v>70</v>
      </c>
      <c r="AD47" s="3" t="s">
        <v>71</v>
      </c>
      <c r="AE47" s="3" t="s">
        <v>72</v>
      </c>
      <c r="AF47" s="3" t="s">
        <v>73</v>
      </c>
      <c r="AG47" s="3" t="s">
        <v>74</v>
      </c>
      <c r="AH47" s="3" t="s">
        <v>75</v>
      </c>
      <c r="AI47" s="3" t="s">
        <v>76</v>
      </c>
      <c r="AJ47" s="3" t="s">
        <v>77</v>
      </c>
      <c r="AK47" s="4" t="s">
        <v>78</v>
      </c>
      <c r="AL47" s="3" t="s">
        <v>79</v>
      </c>
    </row>
    <row r="48" customFormat="false" ht="15" hidden="false" customHeight="true" outlineLevel="0" collapsed="false">
      <c r="A48" s="3" t="s">
        <v>290</v>
      </c>
      <c r="B48" s="3" t="s">
        <v>262</v>
      </c>
      <c r="C48" s="3" t="s">
        <v>150</v>
      </c>
      <c r="D48" s="3" t="s">
        <v>82</v>
      </c>
      <c r="E48" s="3" t="s">
        <v>111</v>
      </c>
      <c r="F48" s="3" t="s">
        <v>219</v>
      </c>
      <c r="G48" s="3" t="s">
        <v>220</v>
      </c>
      <c r="H48" s="3" t="s">
        <v>45</v>
      </c>
      <c r="I48" s="3" t="s">
        <v>46</v>
      </c>
      <c r="J48" s="3" t="s">
        <v>86</v>
      </c>
      <c r="K48" s="3" t="s">
        <v>154</v>
      </c>
      <c r="L48" s="3" t="s">
        <v>291</v>
      </c>
      <c r="M48" s="3" t="s">
        <v>196</v>
      </c>
      <c r="N48" s="3" t="s">
        <v>87</v>
      </c>
      <c r="O48" s="3" t="s">
        <v>168</v>
      </c>
      <c r="P48" s="3" t="s">
        <v>292</v>
      </c>
      <c r="Q48" s="3" t="s">
        <v>64</v>
      </c>
      <c r="R48" s="3" t="s">
        <v>176</v>
      </c>
      <c r="S48" s="3" t="s">
        <v>93</v>
      </c>
      <c r="T48" s="3" t="s">
        <v>94</v>
      </c>
      <c r="U48" s="3" t="s">
        <v>94</v>
      </c>
      <c r="V48" s="3" t="s">
        <v>94</v>
      </c>
      <c r="W48" s="3" t="s">
        <v>94</v>
      </c>
      <c r="X48" s="3" t="s">
        <v>94</v>
      </c>
      <c r="Y48" s="3" t="s">
        <v>95</v>
      </c>
      <c r="Z48" s="3" t="s">
        <v>96</v>
      </c>
      <c r="AA48" s="3" t="s">
        <v>97</v>
      </c>
      <c r="AB48" s="3" t="s">
        <v>98</v>
      </c>
      <c r="AC48" s="3" t="s">
        <v>99</v>
      </c>
      <c r="AD48" s="3" t="s">
        <v>100</v>
      </c>
      <c r="AE48" s="3" t="s">
        <v>101</v>
      </c>
      <c r="AF48" s="3" t="s">
        <v>102</v>
      </c>
      <c r="AG48" s="3" t="s">
        <v>103</v>
      </c>
      <c r="AH48" s="3" t="s">
        <v>104</v>
      </c>
      <c r="AI48" s="3" t="s">
        <v>105</v>
      </c>
      <c r="AJ48" s="3" t="s">
        <v>106</v>
      </c>
      <c r="AK48" s="4" t="s">
        <v>107</v>
      </c>
      <c r="AL48" s="3" t="s">
        <v>108</v>
      </c>
    </row>
    <row r="49" customFormat="false" ht="15" hidden="false" customHeight="true" outlineLevel="0" collapsed="false">
      <c r="A49" s="3" t="s">
        <v>293</v>
      </c>
      <c r="B49" s="3" t="s">
        <v>262</v>
      </c>
      <c r="C49" s="3" t="s">
        <v>160</v>
      </c>
      <c r="D49" s="3"/>
      <c r="E49" s="3" t="s">
        <v>42</v>
      </c>
      <c r="F49" s="3" t="s">
        <v>184</v>
      </c>
      <c r="G49" s="3" t="s">
        <v>185</v>
      </c>
      <c r="H49" s="3" t="s">
        <v>186</v>
      </c>
      <c r="I49" s="3" t="s">
        <v>46</v>
      </c>
      <c r="J49" s="3" t="s">
        <v>92</v>
      </c>
      <c r="K49" s="3" t="s">
        <v>48</v>
      </c>
      <c r="L49" s="3" t="s">
        <v>294</v>
      </c>
      <c r="M49" s="3" t="s">
        <v>295</v>
      </c>
      <c r="N49" s="3" t="s">
        <v>203</v>
      </c>
      <c r="O49" s="3" t="s">
        <v>168</v>
      </c>
      <c r="P49" s="3" t="s">
        <v>296</v>
      </c>
      <c r="Q49" s="3" t="s">
        <v>92</v>
      </c>
      <c r="R49" s="3" t="s">
        <v>176</v>
      </c>
      <c r="S49" s="3" t="s">
        <v>116</v>
      </c>
      <c r="T49" s="3" t="s">
        <v>117</v>
      </c>
      <c r="U49" s="3" t="s">
        <v>117</v>
      </c>
      <c r="V49" s="3" t="s">
        <v>117</v>
      </c>
      <c r="W49" s="3" t="s">
        <v>66</v>
      </c>
      <c r="X49" s="3" t="s">
        <v>66</v>
      </c>
      <c r="Y49" s="3" t="s">
        <v>118</v>
      </c>
      <c r="Z49" s="3" t="s">
        <v>119</v>
      </c>
      <c r="AA49" s="3" t="s">
        <v>120</v>
      </c>
      <c r="AB49" s="3" t="s">
        <v>121</v>
      </c>
      <c r="AC49" s="3" t="s">
        <v>122</v>
      </c>
      <c r="AD49" s="3" t="s">
        <v>123</v>
      </c>
      <c r="AE49" s="3" t="s">
        <v>72</v>
      </c>
      <c r="AF49" s="3" t="s">
        <v>124</v>
      </c>
      <c r="AG49" s="3" t="s">
        <v>125</v>
      </c>
      <c r="AH49" s="3" t="s">
        <v>126</v>
      </c>
      <c r="AI49" s="3" t="s">
        <v>127</v>
      </c>
      <c r="AJ49" s="3" t="s">
        <v>128</v>
      </c>
      <c r="AK49" s="4" t="s">
        <v>129</v>
      </c>
      <c r="AL49" s="3" t="s">
        <v>130</v>
      </c>
    </row>
    <row r="50" customFormat="false" ht="15" hidden="false" customHeight="true" outlineLevel="0" collapsed="false">
      <c r="A50" s="3" t="s">
        <v>297</v>
      </c>
      <c r="B50" s="3" t="s">
        <v>298</v>
      </c>
      <c r="C50" s="3" t="s">
        <v>40</v>
      </c>
      <c r="D50" s="3" t="s">
        <v>41</v>
      </c>
      <c r="E50" s="3" t="s">
        <v>42</v>
      </c>
      <c r="F50" s="3" t="s">
        <v>43</v>
      </c>
      <c r="G50" s="3" t="s">
        <v>44</v>
      </c>
      <c r="H50" s="3" t="s">
        <v>45</v>
      </c>
      <c r="I50" s="3" t="s">
        <v>46</v>
      </c>
      <c r="J50" s="3" t="s">
        <v>47</v>
      </c>
      <c r="K50" s="3" t="s">
        <v>48</v>
      </c>
      <c r="L50" s="3" t="s">
        <v>299</v>
      </c>
      <c r="M50" s="3" t="s">
        <v>50</v>
      </c>
      <c r="N50" s="3" t="s">
        <v>51</v>
      </c>
      <c r="O50" s="3" t="s">
        <v>52</v>
      </c>
      <c r="P50" s="3" t="s">
        <v>300</v>
      </c>
      <c r="Q50" s="3" t="s">
        <v>54</v>
      </c>
      <c r="R50" s="3" t="s">
        <v>55</v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customFormat="false" ht="15" hidden="false" customHeight="true" outlineLevel="0" collapsed="false">
      <c r="A51" s="3" t="s">
        <v>301</v>
      </c>
      <c r="B51" s="3" t="s">
        <v>298</v>
      </c>
      <c r="C51" s="3" t="s">
        <v>57</v>
      </c>
      <c r="D51" s="3" t="s">
        <v>58</v>
      </c>
      <c r="E51" s="3" t="s">
        <v>42</v>
      </c>
      <c r="F51" s="3" t="s">
        <v>43</v>
      </c>
      <c r="G51" s="3" t="s">
        <v>44</v>
      </c>
      <c r="H51" s="3" t="s">
        <v>45</v>
      </c>
      <c r="I51" s="3" t="s">
        <v>46</v>
      </c>
      <c r="J51" s="3" t="s">
        <v>59</v>
      </c>
      <c r="K51" s="3" t="s">
        <v>60</v>
      </c>
      <c r="L51" s="3" t="s">
        <v>299</v>
      </c>
      <c r="M51" s="3" t="s">
        <v>61</v>
      </c>
      <c r="N51" s="3" t="s">
        <v>62</v>
      </c>
      <c r="O51" s="3" t="s">
        <v>52</v>
      </c>
      <c r="P51" s="3" t="s">
        <v>302</v>
      </c>
      <c r="Q51" s="3" t="s">
        <v>64</v>
      </c>
      <c r="R51" s="3" t="s">
        <v>55</v>
      </c>
      <c r="S51" s="3" t="s">
        <v>65</v>
      </c>
      <c r="T51" s="3" t="s">
        <v>39</v>
      </c>
      <c r="U51" s="3" t="s">
        <v>39</v>
      </c>
      <c r="V51" s="3" t="s">
        <v>39</v>
      </c>
      <c r="W51" s="3" t="s">
        <v>66</v>
      </c>
      <c r="X51" s="3" t="s">
        <v>66</v>
      </c>
      <c r="Y51" s="3" t="s">
        <v>67</v>
      </c>
      <c r="Z51" s="3" t="s">
        <v>68</v>
      </c>
      <c r="AA51" s="3" t="s">
        <v>69</v>
      </c>
      <c r="AB51" s="3" t="s">
        <v>60</v>
      </c>
      <c r="AC51" s="3" t="s">
        <v>70</v>
      </c>
      <c r="AD51" s="3" t="s">
        <v>71</v>
      </c>
      <c r="AE51" s="3" t="s">
        <v>72</v>
      </c>
      <c r="AF51" s="3" t="s">
        <v>73</v>
      </c>
      <c r="AG51" s="3" t="s">
        <v>74</v>
      </c>
      <c r="AH51" s="3" t="s">
        <v>75</v>
      </c>
      <c r="AI51" s="3" t="s">
        <v>76</v>
      </c>
      <c r="AJ51" s="3" t="s">
        <v>77</v>
      </c>
      <c r="AK51" s="4" t="s">
        <v>78</v>
      </c>
      <c r="AL51" s="3" t="s">
        <v>79</v>
      </c>
    </row>
    <row r="52" customFormat="false" ht="15" hidden="false" customHeight="true" outlineLevel="0" collapsed="false">
      <c r="A52" s="3" t="s">
        <v>303</v>
      </c>
      <c r="B52" s="3" t="s">
        <v>298</v>
      </c>
      <c r="C52" s="3" t="s">
        <v>81</v>
      </c>
      <c r="D52" s="3" t="s">
        <v>82</v>
      </c>
      <c r="E52" s="3" t="s">
        <v>83</v>
      </c>
      <c r="F52" s="3" t="s">
        <v>84</v>
      </c>
      <c r="G52" s="3" t="s">
        <v>85</v>
      </c>
      <c r="H52" s="3" t="s">
        <v>45</v>
      </c>
      <c r="I52" s="3" t="s">
        <v>46</v>
      </c>
      <c r="J52" s="3" t="s">
        <v>86</v>
      </c>
      <c r="K52" s="3" t="s">
        <v>87</v>
      </c>
      <c r="L52" s="3" t="s">
        <v>304</v>
      </c>
      <c r="M52" s="3" t="s">
        <v>89</v>
      </c>
      <c r="N52" s="3" t="s">
        <v>90</v>
      </c>
      <c r="O52" s="3" t="s">
        <v>52</v>
      </c>
      <c r="P52" s="3" t="s">
        <v>305</v>
      </c>
      <c r="Q52" s="3" t="s">
        <v>92</v>
      </c>
      <c r="R52" s="3" t="s">
        <v>55</v>
      </c>
      <c r="S52" s="3" t="s">
        <v>93</v>
      </c>
      <c r="T52" s="3" t="s">
        <v>94</v>
      </c>
      <c r="U52" s="3" t="s">
        <v>94</v>
      </c>
      <c r="V52" s="3" t="s">
        <v>94</v>
      </c>
      <c r="W52" s="3" t="s">
        <v>94</v>
      </c>
      <c r="X52" s="3" t="s">
        <v>94</v>
      </c>
      <c r="Y52" s="3" t="s">
        <v>95</v>
      </c>
      <c r="Z52" s="3" t="s">
        <v>96</v>
      </c>
      <c r="AA52" s="3" t="s">
        <v>97</v>
      </c>
      <c r="AB52" s="3" t="s">
        <v>98</v>
      </c>
      <c r="AC52" s="3" t="s">
        <v>99</v>
      </c>
      <c r="AD52" s="3" t="s">
        <v>100</v>
      </c>
      <c r="AE52" s="3" t="s">
        <v>101</v>
      </c>
      <c r="AF52" s="3" t="s">
        <v>102</v>
      </c>
      <c r="AG52" s="3" t="s">
        <v>103</v>
      </c>
      <c r="AH52" s="3" t="s">
        <v>104</v>
      </c>
      <c r="AI52" s="3" t="s">
        <v>105</v>
      </c>
      <c r="AJ52" s="3" t="s">
        <v>106</v>
      </c>
      <c r="AK52" s="4" t="s">
        <v>107</v>
      </c>
      <c r="AL52" s="3" t="s">
        <v>108</v>
      </c>
    </row>
    <row r="53" customFormat="false" ht="15" hidden="false" customHeight="true" outlineLevel="0" collapsed="false">
      <c r="A53" s="3" t="s">
        <v>306</v>
      </c>
      <c r="B53" s="3" t="s">
        <v>298</v>
      </c>
      <c r="C53" s="3" t="s">
        <v>110</v>
      </c>
      <c r="D53" s="3"/>
      <c r="E53" s="3" t="s">
        <v>111</v>
      </c>
      <c r="F53" s="3" t="s">
        <v>112</v>
      </c>
      <c r="G53" s="3" t="s">
        <v>113</v>
      </c>
      <c r="H53" s="3" t="s">
        <v>45</v>
      </c>
      <c r="I53" s="3" t="s">
        <v>46</v>
      </c>
      <c r="J53" s="3" t="s">
        <v>92</v>
      </c>
      <c r="K53" s="3" t="s">
        <v>114</v>
      </c>
      <c r="L53" s="3" t="s">
        <v>307</v>
      </c>
      <c r="M53" s="3" t="s">
        <v>61</v>
      </c>
      <c r="N53" s="3" t="s">
        <v>62</v>
      </c>
      <c r="O53" s="3" t="s">
        <v>52</v>
      </c>
      <c r="P53" s="3" t="s">
        <v>302</v>
      </c>
      <c r="Q53" s="3" t="s">
        <v>54</v>
      </c>
      <c r="R53" s="3" t="s">
        <v>55</v>
      </c>
      <c r="S53" s="3" t="s">
        <v>116</v>
      </c>
      <c r="T53" s="3" t="s">
        <v>117</v>
      </c>
      <c r="U53" s="3" t="s">
        <v>117</v>
      </c>
      <c r="V53" s="3" t="s">
        <v>117</v>
      </c>
      <c r="W53" s="3" t="s">
        <v>66</v>
      </c>
      <c r="X53" s="3" t="s">
        <v>66</v>
      </c>
      <c r="Y53" s="3" t="s">
        <v>118</v>
      </c>
      <c r="Z53" s="3" t="s">
        <v>119</v>
      </c>
      <c r="AA53" s="3" t="s">
        <v>120</v>
      </c>
      <c r="AB53" s="3" t="s">
        <v>121</v>
      </c>
      <c r="AC53" s="3" t="s">
        <v>122</v>
      </c>
      <c r="AD53" s="3" t="s">
        <v>123</v>
      </c>
      <c r="AE53" s="3" t="s">
        <v>72</v>
      </c>
      <c r="AF53" s="3" t="s">
        <v>124</v>
      </c>
      <c r="AG53" s="3" t="s">
        <v>125</v>
      </c>
      <c r="AH53" s="3" t="s">
        <v>126</v>
      </c>
      <c r="AI53" s="3" t="s">
        <v>127</v>
      </c>
      <c r="AJ53" s="3" t="s">
        <v>128</v>
      </c>
      <c r="AK53" s="4" t="s">
        <v>129</v>
      </c>
      <c r="AL53" s="3" t="s">
        <v>130</v>
      </c>
    </row>
    <row r="54" customFormat="false" ht="15" hidden="false" customHeight="true" outlineLevel="0" collapsed="false">
      <c r="A54" s="3" t="s">
        <v>308</v>
      </c>
      <c r="B54" s="3" t="s">
        <v>298</v>
      </c>
      <c r="C54" s="3" t="s">
        <v>132</v>
      </c>
      <c r="D54" s="3" t="s">
        <v>41</v>
      </c>
      <c r="E54" s="3" t="s">
        <v>83</v>
      </c>
      <c r="F54" s="3" t="s">
        <v>133</v>
      </c>
      <c r="G54" s="3" t="s">
        <v>134</v>
      </c>
      <c r="H54" s="3" t="s">
        <v>45</v>
      </c>
      <c r="I54" s="3" t="s">
        <v>46</v>
      </c>
      <c r="J54" s="3" t="s">
        <v>47</v>
      </c>
      <c r="K54" s="3" t="s">
        <v>135</v>
      </c>
      <c r="L54" s="3" t="s">
        <v>309</v>
      </c>
      <c r="M54" s="3" t="s">
        <v>89</v>
      </c>
      <c r="N54" s="3" t="s">
        <v>89</v>
      </c>
      <c r="O54" s="3" t="s">
        <v>137</v>
      </c>
      <c r="P54" s="3" t="s">
        <v>310</v>
      </c>
      <c r="Q54" s="3" t="s">
        <v>64</v>
      </c>
      <c r="R54" s="3" t="s">
        <v>139</v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customFormat="false" ht="15" hidden="false" customHeight="true" outlineLevel="0" collapsed="false">
      <c r="A55" s="3" t="s">
        <v>311</v>
      </c>
      <c r="B55" s="3" t="s">
        <v>298</v>
      </c>
      <c r="C55" s="3" t="s">
        <v>141</v>
      </c>
      <c r="D55" s="3" t="s">
        <v>58</v>
      </c>
      <c r="E55" s="3" t="s">
        <v>111</v>
      </c>
      <c r="F55" s="3" t="s">
        <v>142</v>
      </c>
      <c r="G55" s="3" t="s">
        <v>143</v>
      </c>
      <c r="H55" s="3" t="s">
        <v>45</v>
      </c>
      <c r="I55" s="3" t="s">
        <v>46</v>
      </c>
      <c r="J55" s="3" t="s">
        <v>59</v>
      </c>
      <c r="K55" s="3" t="s">
        <v>144</v>
      </c>
      <c r="L55" s="3" t="s">
        <v>312</v>
      </c>
      <c r="M55" s="3" t="s">
        <v>146</v>
      </c>
      <c r="N55" s="3" t="s">
        <v>147</v>
      </c>
      <c r="O55" s="3" t="s">
        <v>52</v>
      </c>
      <c r="P55" s="3" t="s">
        <v>313</v>
      </c>
      <c r="Q55" s="3" t="s">
        <v>92</v>
      </c>
      <c r="R55" s="3" t="s">
        <v>139</v>
      </c>
      <c r="S55" s="3" t="s">
        <v>65</v>
      </c>
      <c r="T55" s="3" t="s">
        <v>39</v>
      </c>
      <c r="U55" s="3" t="s">
        <v>39</v>
      </c>
      <c r="V55" s="3" t="s">
        <v>39</v>
      </c>
      <c r="W55" s="3" t="s">
        <v>66</v>
      </c>
      <c r="X55" s="3" t="s">
        <v>66</v>
      </c>
      <c r="Y55" s="3" t="s">
        <v>67</v>
      </c>
      <c r="Z55" s="3" t="s">
        <v>68</v>
      </c>
      <c r="AA55" s="3" t="s">
        <v>69</v>
      </c>
      <c r="AB55" s="3" t="s">
        <v>60</v>
      </c>
      <c r="AC55" s="3" t="s">
        <v>70</v>
      </c>
      <c r="AD55" s="3" t="s">
        <v>71</v>
      </c>
      <c r="AE55" s="3" t="s">
        <v>72</v>
      </c>
      <c r="AF55" s="3" t="s">
        <v>73</v>
      </c>
      <c r="AG55" s="3" t="s">
        <v>74</v>
      </c>
      <c r="AH55" s="3" t="s">
        <v>75</v>
      </c>
      <c r="AI55" s="3" t="s">
        <v>76</v>
      </c>
      <c r="AJ55" s="3" t="s">
        <v>77</v>
      </c>
      <c r="AK55" s="4" t="s">
        <v>78</v>
      </c>
      <c r="AL55" s="3" t="s">
        <v>79</v>
      </c>
    </row>
    <row r="56" customFormat="false" ht="15" hidden="false" customHeight="true" outlineLevel="0" collapsed="false">
      <c r="A56" s="3" t="s">
        <v>314</v>
      </c>
      <c r="B56" s="3" t="s">
        <v>298</v>
      </c>
      <c r="C56" s="3" t="s">
        <v>150</v>
      </c>
      <c r="D56" s="3" t="s">
        <v>82</v>
      </c>
      <c r="E56" s="3" t="s">
        <v>151</v>
      </c>
      <c r="F56" s="3" t="s">
        <v>152</v>
      </c>
      <c r="G56" s="3" t="s">
        <v>153</v>
      </c>
      <c r="H56" s="3" t="s">
        <v>45</v>
      </c>
      <c r="I56" s="3" t="s">
        <v>46</v>
      </c>
      <c r="J56" s="3" t="s">
        <v>86</v>
      </c>
      <c r="K56" s="3" t="s">
        <v>154</v>
      </c>
      <c r="L56" s="3" t="s">
        <v>315</v>
      </c>
      <c r="M56" s="3" t="s">
        <v>156</v>
      </c>
      <c r="N56" s="3" t="s">
        <v>156</v>
      </c>
      <c r="O56" s="3" t="s">
        <v>52</v>
      </c>
      <c r="P56" s="3" t="s">
        <v>316</v>
      </c>
      <c r="Q56" s="3" t="s">
        <v>54</v>
      </c>
      <c r="R56" s="3" t="s">
        <v>158</v>
      </c>
      <c r="S56" s="3" t="s">
        <v>93</v>
      </c>
      <c r="T56" s="3" t="s">
        <v>94</v>
      </c>
      <c r="U56" s="3" t="s">
        <v>94</v>
      </c>
      <c r="V56" s="3" t="s">
        <v>94</v>
      </c>
      <c r="W56" s="3" t="s">
        <v>94</v>
      </c>
      <c r="X56" s="3" t="s">
        <v>94</v>
      </c>
      <c r="Y56" s="3" t="s">
        <v>95</v>
      </c>
      <c r="Z56" s="3" t="s">
        <v>96</v>
      </c>
      <c r="AA56" s="3" t="s">
        <v>97</v>
      </c>
      <c r="AB56" s="3" t="s">
        <v>98</v>
      </c>
      <c r="AC56" s="3" t="s">
        <v>99</v>
      </c>
      <c r="AD56" s="3" t="s">
        <v>100</v>
      </c>
      <c r="AE56" s="3" t="s">
        <v>101</v>
      </c>
      <c r="AF56" s="3" t="s">
        <v>102</v>
      </c>
      <c r="AG56" s="3" t="s">
        <v>103</v>
      </c>
      <c r="AH56" s="3" t="s">
        <v>104</v>
      </c>
      <c r="AI56" s="3" t="s">
        <v>105</v>
      </c>
      <c r="AJ56" s="3" t="s">
        <v>106</v>
      </c>
      <c r="AK56" s="4" t="s">
        <v>107</v>
      </c>
      <c r="AL56" s="3" t="s">
        <v>108</v>
      </c>
    </row>
    <row r="57" customFormat="false" ht="15" hidden="false" customHeight="true" outlineLevel="0" collapsed="false">
      <c r="A57" s="3" t="s">
        <v>317</v>
      </c>
      <c r="B57" s="3" t="s">
        <v>298</v>
      </c>
      <c r="C57" s="3" t="s">
        <v>160</v>
      </c>
      <c r="D57" s="3"/>
      <c r="E57" s="3" t="s">
        <v>42</v>
      </c>
      <c r="F57" s="3" t="s">
        <v>161</v>
      </c>
      <c r="G57" s="3" t="s">
        <v>162</v>
      </c>
      <c r="H57" s="3" t="s">
        <v>45</v>
      </c>
      <c r="I57" s="3" t="s">
        <v>46</v>
      </c>
      <c r="J57" s="3" t="s">
        <v>92</v>
      </c>
      <c r="K57" s="3" t="s">
        <v>48</v>
      </c>
      <c r="L57" s="3" t="s">
        <v>318</v>
      </c>
      <c r="M57" s="3" t="s">
        <v>164</v>
      </c>
      <c r="N57" s="3" t="s">
        <v>165</v>
      </c>
      <c r="O57" s="3" t="s">
        <v>52</v>
      </c>
      <c r="P57" s="3" t="s">
        <v>319</v>
      </c>
      <c r="Q57" s="3" t="s">
        <v>64</v>
      </c>
      <c r="R57" s="3" t="s">
        <v>139</v>
      </c>
      <c r="S57" s="3" t="s">
        <v>116</v>
      </c>
      <c r="T57" s="3" t="s">
        <v>117</v>
      </c>
      <c r="U57" s="3" t="s">
        <v>117</v>
      </c>
      <c r="V57" s="3" t="s">
        <v>117</v>
      </c>
      <c r="W57" s="3" t="s">
        <v>66</v>
      </c>
      <c r="X57" s="3" t="s">
        <v>66</v>
      </c>
      <c r="Y57" s="3" t="s">
        <v>118</v>
      </c>
      <c r="Z57" s="3" t="s">
        <v>119</v>
      </c>
      <c r="AA57" s="3" t="s">
        <v>120</v>
      </c>
      <c r="AB57" s="3" t="s">
        <v>121</v>
      </c>
      <c r="AC57" s="3" t="s">
        <v>122</v>
      </c>
      <c r="AD57" s="3" t="s">
        <v>123</v>
      </c>
      <c r="AE57" s="3" t="s">
        <v>72</v>
      </c>
      <c r="AF57" s="3" t="s">
        <v>124</v>
      </c>
      <c r="AG57" s="3" t="s">
        <v>125</v>
      </c>
      <c r="AH57" s="3" t="s">
        <v>126</v>
      </c>
      <c r="AI57" s="3" t="s">
        <v>127</v>
      </c>
      <c r="AJ57" s="3" t="s">
        <v>128</v>
      </c>
      <c r="AK57" s="4" t="s">
        <v>129</v>
      </c>
      <c r="AL57" s="3" t="s">
        <v>130</v>
      </c>
    </row>
    <row r="58" customFormat="false" ht="15" hidden="false" customHeight="true" outlineLevel="0" collapsed="false">
      <c r="A58" s="3" t="s">
        <v>320</v>
      </c>
      <c r="B58" s="3" t="s">
        <v>298</v>
      </c>
      <c r="C58" s="3" t="s">
        <v>40</v>
      </c>
      <c r="D58" s="3" t="s">
        <v>41</v>
      </c>
      <c r="E58" s="3" t="s">
        <v>42</v>
      </c>
      <c r="F58" s="3" t="s">
        <v>161</v>
      </c>
      <c r="G58" s="3" t="s">
        <v>162</v>
      </c>
      <c r="H58" s="3" t="s">
        <v>45</v>
      </c>
      <c r="I58" s="3" t="s">
        <v>46</v>
      </c>
      <c r="J58" s="3" t="s">
        <v>47</v>
      </c>
      <c r="K58" s="3" t="s">
        <v>87</v>
      </c>
      <c r="L58" s="3" t="s">
        <v>318</v>
      </c>
      <c r="M58" s="3" t="s">
        <v>61</v>
      </c>
      <c r="N58" s="3" t="s">
        <v>114</v>
      </c>
      <c r="O58" s="3" t="s">
        <v>168</v>
      </c>
      <c r="P58" s="3" t="s">
        <v>321</v>
      </c>
      <c r="Q58" s="3" t="s">
        <v>92</v>
      </c>
      <c r="R58" s="3" t="s">
        <v>139</v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customFormat="false" ht="15" hidden="false" customHeight="true" outlineLevel="0" collapsed="false">
      <c r="A59" s="3" t="s">
        <v>322</v>
      </c>
      <c r="B59" s="3" t="s">
        <v>298</v>
      </c>
      <c r="C59" s="3" t="s">
        <v>57</v>
      </c>
      <c r="D59" s="3" t="s">
        <v>58</v>
      </c>
      <c r="E59" s="3" t="s">
        <v>111</v>
      </c>
      <c r="F59" s="3" t="s">
        <v>171</v>
      </c>
      <c r="G59" s="3" t="s">
        <v>172</v>
      </c>
      <c r="H59" s="3" t="s">
        <v>45</v>
      </c>
      <c r="I59" s="3" t="s">
        <v>46</v>
      </c>
      <c r="J59" s="3" t="s">
        <v>59</v>
      </c>
      <c r="K59" s="3" t="s">
        <v>114</v>
      </c>
      <c r="L59" s="3" t="s">
        <v>323</v>
      </c>
      <c r="M59" s="3" t="s">
        <v>174</v>
      </c>
      <c r="N59" s="3" t="s">
        <v>174</v>
      </c>
      <c r="O59" s="3" t="s">
        <v>137</v>
      </c>
      <c r="P59" s="3" t="s">
        <v>324</v>
      </c>
      <c r="Q59" s="3" t="s">
        <v>54</v>
      </c>
      <c r="R59" s="3" t="s">
        <v>176</v>
      </c>
      <c r="S59" s="3" t="s">
        <v>65</v>
      </c>
      <c r="T59" s="3" t="s">
        <v>39</v>
      </c>
      <c r="U59" s="3" t="s">
        <v>39</v>
      </c>
      <c r="V59" s="3" t="s">
        <v>39</v>
      </c>
      <c r="W59" s="3" t="s">
        <v>66</v>
      </c>
      <c r="X59" s="3" t="s">
        <v>66</v>
      </c>
      <c r="Y59" s="3" t="s">
        <v>67</v>
      </c>
      <c r="Z59" s="3" t="s">
        <v>68</v>
      </c>
      <c r="AA59" s="3" t="s">
        <v>69</v>
      </c>
      <c r="AB59" s="3" t="s">
        <v>60</v>
      </c>
      <c r="AC59" s="3" t="s">
        <v>70</v>
      </c>
      <c r="AD59" s="3" t="s">
        <v>71</v>
      </c>
      <c r="AE59" s="3" t="s">
        <v>72</v>
      </c>
      <c r="AF59" s="3" t="s">
        <v>73</v>
      </c>
      <c r="AG59" s="3" t="s">
        <v>74</v>
      </c>
      <c r="AH59" s="3" t="s">
        <v>75</v>
      </c>
      <c r="AI59" s="3" t="s">
        <v>76</v>
      </c>
      <c r="AJ59" s="3" t="s">
        <v>77</v>
      </c>
      <c r="AK59" s="4" t="s">
        <v>78</v>
      </c>
      <c r="AL59" s="3" t="s">
        <v>79</v>
      </c>
    </row>
    <row r="60" customFormat="false" ht="15" hidden="false" customHeight="true" outlineLevel="0" collapsed="false">
      <c r="A60" s="3" t="s">
        <v>325</v>
      </c>
      <c r="B60" s="3" t="s">
        <v>298</v>
      </c>
      <c r="C60" s="3" t="s">
        <v>81</v>
      </c>
      <c r="D60" s="3" t="s">
        <v>82</v>
      </c>
      <c r="E60" s="3" t="s">
        <v>42</v>
      </c>
      <c r="F60" s="3" t="s">
        <v>178</v>
      </c>
      <c r="G60" s="3" t="s">
        <v>179</v>
      </c>
      <c r="H60" s="3" t="s">
        <v>45</v>
      </c>
      <c r="I60" s="3" t="s">
        <v>46</v>
      </c>
      <c r="J60" s="3" t="s">
        <v>86</v>
      </c>
      <c r="K60" s="3" t="s">
        <v>135</v>
      </c>
      <c r="L60" s="3" t="s">
        <v>326</v>
      </c>
      <c r="M60" s="3" t="s">
        <v>181</v>
      </c>
      <c r="N60" s="3" t="s">
        <v>181</v>
      </c>
      <c r="O60" s="3" t="s">
        <v>137</v>
      </c>
      <c r="P60" s="3" t="s">
        <v>327</v>
      </c>
      <c r="Q60" s="3" t="s">
        <v>64</v>
      </c>
      <c r="R60" s="3" t="s">
        <v>176</v>
      </c>
      <c r="S60" s="3" t="s">
        <v>93</v>
      </c>
      <c r="T60" s="3" t="s">
        <v>94</v>
      </c>
      <c r="U60" s="3" t="s">
        <v>94</v>
      </c>
      <c r="V60" s="3" t="s">
        <v>94</v>
      </c>
      <c r="W60" s="3" t="s">
        <v>94</v>
      </c>
      <c r="X60" s="3" t="s">
        <v>94</v>
      </c>
      <c r="Y60" s="3" t="s">
        <v>95</v>
      </c>
      <c r="Z60" s="3" t="s">
        <v>96</v>
      </c>
      <c r="AA60" s="3" t="s">
        <v>97</v>
      </c>
      <c r="AB60" s="3" t="s">
        <v>98</v>
      </c>
      <c r="AC60" s="3" t="s">
        <v>99</v>
      </c>
      <c r="AD60" s="3" t="s">
        <v>100</v>
      </c>
      <c r="AE60" s="3" t="s">
        <v>101</v>
      </c>
      <c r="AF60" s="3" t="s">
        <v>102</v>
      </c>
      <c r="AG60" s="3" t="s">
        <v>103</v>
      </c>
      <c r="AH60" s="3" t="s">
        <v>104</v>
      </c>
      <c r="AI60" s="3" t="s">
        <v>105</v>
      </c>
      <c r="AJ60" s="3" t="s">
        <v>106</v>
      </c>
      <c r="AK60" s="4" t="s">
        <v>107</v>
      </c>
      <c r="AL60" s="3" t="s">
        <v>108</v>
      </c>
    </row>
    <row r="61" customFormat="false" ht="15" hidden="false" customHeight="true" outlineLevel="0" collapsed="false">
      <c r="A61" s="3" t="s">
        <v>328</v>
      </c>
      <c r="B61" s="3" t="s">
        <v>298</v>
      </c>
      <c r="C61" s="3" t="s">
        <v>110</v>
      </c>
      <c r="D61" s="3"/>
      <c r="E61" s="3" t="s">
        <v>83</v>
      </c>
      <c r="F61" s="3" t="s">
        <v>184</v>
      </c>
      <c r="G61" s="3" t="s">
        <v>185</v>
      </c>
      <c r="H61" s="3" t="s">
        <v>186</v>
      </c>
      <c r="I61" s="3" t="s">
        <v>46</v>
      </c>
      <c r="J61" s="3" t="s">
        <v>92</v>
      </c>
      <c r="K61" s="3" t="s">
        <v>144</v>
      </c>
      <c r="L61" s="3" t="s">
        <v>329</v>
      </c>
      <c r="M61" s="3" t="s">
        <v>188</v>
      </c>
      <c r="N61" s="3" t="s">
        <v>188</v>
      </c>
      <c r="O61" s="3" t="s">
        <v>137</v>
      </c>
      <c r="P61" s="3" t="s">
        <v>330</v>
      </c>
      <c r="Q61" s="3" t="s">
        <v>92</v>
      </c>
      <c r="R61" s="3" t="s">
        <v>176</v>
      </c>
      <c r="S61" s="3" t="s">
        <v>116</v>
      </c>
      <c r="T61" s="3" t="s">
        <v>117</v>
      </c>
      <c r="U61" s="3" t="s">
        <v>117</v>
      </c>
      <c r="V61" s="3" t="s">
        <v>117</v>
      </c>
      <c r="W61" s="3" t="s">
        <v>66</v>
      </c>
      <c r="X61" s="3" t="s">
        <v>66</v>
      </c>
      <c r="Y61" s="3" t="s">
        <v>118</v>
      </c>
      <c r="Z61" s="3" t="s">
        <v>119</v>
      </c>
      <c r="AA61" s="3" t="s">
        <v>120</v>
      </c>
      <c r="AB61" s="3" t="s">
        <v>121</v>
      </c>
      <c r="AC61" s="3" t="s">
        <v>122</v>
      </c>
      <c r="AD61" s="3" t="s">
        <v>123</v>
      </c>
      <c r="AE61" s="3" t="s">
        <v>72</v>
      </c>
      <c r="AF61" s="3" t="s">
        <v>124</v>
      </c>
      <c r="AG61" s="3" t="s">
        <v>125</v>
      </c>
      <c r="AH61" s="3" t="s">
        <v>126</v>
      </c>
      <c r="AI61" s="3" t="s">
        <v>127</v>
      </c>
      <c r="AJ61" s="3" t="s">
        <v>128</v>
      </c>
      <c r="AK61" s="4" t="s">
        <v>129</v>
      </c>
      <c r="AL61" s="3" t="s">
        <v>130</v>
      </c>
    </row>
    <row r="62" customFormat="false" ht="15" hidden="false" customHeight="true" outlineLevel="0" collapsed="false">
      <c r="A62" s="3" t="s">
        <v>331</v>
      </c>
      <c r="B62" s="3" t="s">
        <v>298</v>
      </c>
      <c r="C62" s="3" t="s">
        <v>132</v>
      </c>
      <c r="D62" s="3" t="s">
        <v>41</v>
      </c>
      <c r="E62" s="3" t="s">
        <v>83</v>
      </c>
      <c r="F62" s="3" t="s">
        <v>184</v>
      </c>
      <c r="G62" s="3" t="s">
        <v>185</v>
      </c>
      <c r="H62" s="3" t="s">
        <v>186</v>
      </c>
      <c r="I62" s="3" t="s">
        <v>46</v>
      </c>
      <c r="J62" s="3" t="s">
        <v>47</v>
      </c>
      <c r="K62" s="3" t="s">
        <v>48</v>
      </c>
      <c r="L62" s="3" t="s">
        <v>329</v>
      </c>
      <c r="M62" s="3" t="s">
        <v>188</v>
      </c>
      <c r="N62" s="3" t="s">
        <v>62</v>
      </c>
      <c r="O62" s="3" t="s">
        <v>52</v>
      </c>
      <c r="P62" s="3" t="s">
        <v>302</v>
      </c>
      <c r="Q62" s="3" t="s">
        <v>54</v>
      </c>
      <c r="R62" s="3" t="s">
        <v>176</v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customFormat="false" ht="15" hidden="false" customHeight="true" outlineLevel="0" collapsed="false">
      <c r="A63" s="3" t="s">
        <v>332</v>
      </c>
      <c r="B63" s="3" t="s">
        <v>333</v>
      </c>
      <c r="C63" s="3" t="s">
        <v>141</v>
      </c>
      <c r="D63" s="3" t="s">
        <v>58</v>
      </c>
      <c r="E63" s="3" t="s">
        <v>83</v>
      </c>
      <c r="F63" s="3" t="s">
        <v>43</v>
      </c>
      <c r="G63" s="3" t="s">
        <v>44</v>
      </c>
      <c r="H63" s="3" t="s">
        <v>45</v>
      </c>
      <c r="I63" s="3" t="s">
        <v>46</v>
      </c>
      <c r="J63" s="3" t="s">
        <v>59</v>
      </c>
      <c r="K63" s="3" t="s">
        <v>60</v>
      </c>
      <c r="L63" s="3" t="s">
        <v>334</v>
      </c>
      <c r="M63" s="3" t="s">
        <v>89</v>
      </c>
      <c r="N63" s="3" t="s">
        <v>154</v>
      </c>
      <c r="O63" s="3" t="s">
        <v>168</v>
      </c>
      <c r="P63" s="3" t="s">
        <v>335</v>
      </c>
      <c r="Q63" s="3" t="s">
        <v>64</v>
      </c>
      <c r="R63" s="3" t="s">
        <v>55</v>
      </c>
      <c r="S63" s="3" t="s">
        <v>65</v>
      </c>
      <c r="T63" s="3" t="s">
        <v>39</v>
      </c>
      <c r="U63" s="3" t="s">
        <v>39</v>
      </c>
      <c r="V63" s="3" t="s">
        <v>39</v>
      </c>
      <c r="W63" s="3" t="s">
        <v>66</v>
      </c>
      <c r="X63" s="3" t="s">
        <v>66</v>
      </c>
      <c r="Y63" s="3" t="s">
        <v>67</v>
      </c>
      <c r="Z63" s="3" t="s">
        <v>68</v>
      </c>
      <c r="AA63" s="3" t="s">
        <v>69</v>
      </c>
      <c r="AB63" s="3" t="s">
        <v>60</v>
      </c>
      <c r="AC63" s="3" t="s">
        <v>70</v>
      </c>
      <c r="AD63" s="3" t="s">
        <v>71</v>
      </c>
      <c r="AE63" s="3" t="s">
        <v>72</v>
      </c>
      <c r="AF63" s="3" t="s">
        <v>73</v>
      </c>
      <c r="AG63" s="3" t="s">
        <v>74</v>
      </c>
      <c r="AH63" s="3" t="s">
        <v>75</v>
      </c>
      <c r="AI63" s="3" t="s">
        <v>76</v>
      </c>
      <c r="AJ63" s="3" t="s">
        <v>77</v>
      </c>
      <c r="AK63" s="4" t="s">
        <v>78</v>
      </c>
      <c r="AL63" s="3" t="s">
        <v>79</v>
      </c>
    </row>
    <row r="64" customFormat="false" ht="15" hidden="false" customHeight="true" outlineLevel="0" collapsed="false">
      <c r="A64" s="3" t="s">
        <v>336</v>
      </c>
      <c r="B64" s="3" t="s">
        <v>333</v>
      </c>
      <c r="C64" s="3" t="s">
        <v>150</v>
      </c>
      <c r="D64" s="3" t="s">
        <v>82</v>
      </c>
      <c r="E64" s="3" t="s">
        <v>111</v>
      </c>
      <c r="F64" s="3" t="s">
        <v>84</v>
      </c>
      <c r="G64" s="3" t="s">
        <v>85</v>
      </c>
      <c r="H64" s="3" t="s">
        <v>45</v>
      </c>
      <c r="I64" s="3" t="s">
        <v>46</v>
      </c>
      <c r="J64" s="3" t="s">
        <v>86</v>
      </c>
      <c r="K64" s="3" t="s">
        <v>154</v>
      </c>
      <c r="L64" s="3" t="s">
        <v>337</v>
      </c>
      <c r="M64" s="3" t="s">
        <v>196</v>
      </c>
      <c r="N64" s="3" t="s">
        <v>87</v>
      </c>
      <c r="O64" s="3" t="s">
        <v>168</v>
      </c>
      <c r="P64" s="3" t="s">
        <v>338</v>
      </c>
      <c r="Q64" s="3" t="s">
        <v>92</v>
      </c>
      <c r="R64" s="3" t="s">
        <v>55</v>
      </c>
      <c r="S64" s="3" t="s">
        <v>93</v>
      </c>
      <c r="T64" s="3" t="s">
        <v>94</v>
      </c>
      <c r="U64" s="3" t="s">
        <v>94</v>
      </c>
      <c r="V64" s="3" t="s">
        <v>94</v>
      </c>
      <c r="W64" s="3" t="s">
        <v>94</v>
      </c>
      <c r="X64" s="3" t="s">
        <v>94</v>
      </c>
      <c r="Y64" s="3" t="s">
        <v>95</v>
      </c>
      <c r="Z64" s="3" t="s">
        <v>96</v>
      </c>
      <c r="AA64" s="3" t="s">
        <v>97</v>
      </c>
      <c r="AB64" s="3" t="s">
        <v>98</v>
      </c>
      <c r="AC64" s="3" t="s">
        <v>99</v>
      </c>
      <c r="AD64" s="3" t="s">
        <v>100</v>
      </c>
      <c r="AE64" s="3" t="s">
        <v>101</v>
      </c>
      <c r="AF64" s="3" t="s">
        <v>102</v>
      </c>
      <c r="AG64" s="3" t="s">
        <v>103</v>
      </c>
      <c r="AH64" s="3" t="s">
        <v>104</v>
      </c>
      <c r="AI64" s="3" t="s">
        <v>105</v>
      </c>
      <c r="AJ64" s="3" t="s">
        <v>106</v>
      </c>
      <c r="AK64" s="4" t="s">
        <v>107</v>
      </c>
      <c r="AL64" s="3" t="s">
        <v>108</v>
      </c>
    </row>
    <row r="65" customFormat="false" ht="15" hidden="false" customHeight="true" outlineLevel="0" collapsed="false">
      <c r="A65" s="3" t="s">
        <v>339</v>
      </c>
      <c r="B65" s="3" t="s">
        <v>333</v>
      </c>
      <c r="C65" s="3" t="s">
        <v>160</v>
      </c>
      <c r="D65" s="3"/>
      <c r="E65" s="3" t="s">
        <v>42</v>
      </c>
      <c r="F65" s="3" t="s">
        <v>199</v>
      </c>
      <c r="G65" s="3" t="s">
        <v>200</v>
      </c>
      <c r="H65" s="3" t="s">
        <v>45</v>
      </c>
      <c r="I65" s="3" t="s">
        <v>46</v>
      </c>
      <c r="J65" s="3" t="s">
        <v>92</v>
      </c>
      <c r="K65" s="3" t="s">
        <v>48</v>
      </c>
      <c r="L65" s="3" t="s">
        <v>340</v>
      </c>
      <c r="M65" s="3" t="s">
        <v>202</v>
      </c>
      <c r="N65" s="3" t="s">
        <v>203</v>
      </c>
      <c r="O65" s="3" t="s">
        <v>168</v>
      </c>
      <c r="P65" s="3" t="s">
        <v>341</v>
      </c>
      <c r="Q65" s="3" t="s">
        <v>54</v>
      </c>
      <c r="R65" s="3" t="s">
        <v>55</v>
      </c>
      <c r="S65" s="3" t="s">
        <v>116</v>
      </c>
      <c r="T65" s="3" t="s">
        <v>117</v>
      </c>
      <c r="U65" s="3" t="s">
        <v>117</v>
      </c>
      <c r="V65" s="3" t="s">
        <v>117</v>
      </c>
      <c r="W65" s="3" t="s">
        <v>66</v>
      </c>
      <c r="X65" s="3" t="s">
        <v>66</v>
      </c>
      <c r="Y65" s="3" t="s">
        <v>118</v>
      </c>
      <c r="Z65" s="3" t="s">
        <v>119</v>
      </c>
      <c r="AA65" s="3" t="s">
        <v>120</v>
      </c>
      <c r="AB65" s="3" t="s">
        <v>121</v>
      </c>
      <c r="AC65" s="3" t="s">
        <v>122</v>
      </c>
      <c r="AD65" s="3" t="s">
        <v>123</v>
      </c>
      <c r="AE65" s="3" t="s">
        <v>72</v>
      </c>
      <c r="AF65" s="3" t="s">
        <v>124</v>
      </c>
      <c r="AG65" s="3" t="s">
        <v>125</v>
      </c>
      <c r="AH65" s="3" t="s">
        <v>126</v>
      </c>
      <c r="AI65" s="3" t="s">
        <v>127</v>
      </c>
      <c r="AJ65" s="3" t="s">
        <v>128</v>
      </c>
      <c r="AK65" s="4" t="s">
        <v>129</v>
      </c>
      <c r="AL65" s="3" t="s">
        <v>130</v>
      </c>
    </row>
    <row r="66" customFormat="false" ht="15" hidden="false" customHeight="true" outlineLevel="0" collapsed="false">
      <c r="A66" s="3" t="s">
        <v>342</v>
      </c>
      <c r="B66" s="3" t="s">
        <v>333</v>
      </c>
      <c r="C66" s="3" t="s">
        <v>40</v>
      </c>
      <c r="D66" s="3" t="s">
        <v>41</v>
      </c>
      <c r="E66" s="3" t="s">
        <v>111</v>
      </c>
      <c r="F66" s="3" t="s">
        <v>133</v>
      </c>
      <c r="G66" s="3" t="s">
        <v>134</v>
      </c>
      <c r="H66" s="3" t="s">
        <v>45</v>
      </c>
      <c r="I66" s="3" t="s">
        <v>46</v>
      </c>
      <c r="J66" s="3" t="s">
        <v>47</v>
      </c>
      <c r="K66" s="3" t="s">
        <v>135</v>
      </c>
      <c r="L66" s="3" t="s">
        <v>343</v>
      </c>
      <c r="M66" s="3" t="s">
        <v>61</v>
      </c>
      <c r="N66" s="3" t="s">
        <v>62</v>
      </c>
      <c r="O66" s="3" t="s">
        <v>52</v>
      </c>
      <c r="P66" s="3" t="s">
        <v>344</v>
      </c>
      <c r="Q66" s="3" t="s">
        <v>64</v>
      </c>
      <c r="R66" s="3" t="s">
        <v>139</v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customFormat="false" ht="15" hidden="false" customHeight="true" outlineLevel="0" collapsed="false">
      <c r="A67" s="3" t="s">
        <v>345</v>
      </c>
      <c r="B67" s="3" t="s">
        <v>333</v>
      </c>
      <c r="C67" s="3" t="s">
        <v>57</v>
      </c>
      <c r="D67" s="3" t="s">
        <v>58</v>
      </c>
      <c r="E67" s="3" t="s">
        <v>42</v>
      </c>
      <c r="F67" s="3" t="s">
        <v>152</v>
      </c>
      <c r="G67" s="3" t="s">
        <v>153</v>
      </c>
      <c r="H67" s="3" t="s">
        <v>45</v>
      </c>
      <c r="I67" s="3" t="s">
        <v>46</v>
      </c>
      <c r="J67" s="3" t="s">
        <v>59</v>
      </c>
      <c r="K67" s="3" t="s">
        <v>144</v>
      </c>
      <c r="L67" s="3" t="s">
        <v>346</v>
      </c>
      <c r="M67" s="3" t="s">
        <v>50</v>
      </c>
      <c r="N67" s="3" t="s">
        <v>51</v>
      </c>
      <c r="O67" s="3" t="s">
        <v>52</v>
      </c>
      <c r="P67" s="3" t="s">
        <v>347</v>
      </c>
      <c r="Q67" s="3" t="s">
        <v>92</v>
      </c>
      <c r="R67" s="3" t="s">
        <v>139</v>
      </c>
      <c r="S67" s="3" t="s">
        <v>65</v>
      </c>
      <c r="T67" s="3" t="s">
        <v>39</v>
      </c>
      <c r="U67" s="3" t="s">
        <v>39</v>
      </c>
      <c r="V67" s="3" t="s">
        <v>39</v>
      </c>
      <c r="W67" s="3" t="s">
        <v>66</v>
      </c>
      <c r="X67" s="3" t="s">
        <v>66</v>
      </c>
      <c r="Y67" s="3" t="s">
        <v>67</v>
      </c>
      <c r="Z67" s="3" t="s">
        <v>68</v>
      </c>
      <c r="AA67" s="3" t="s">
        <v>69</v>
      </c>
      <c r="AB67" s="3" t="s">
        <v>60</v>
      </c>
      <c r="AC67" s="3" t="s">
        <v>70</v>
      </c>
      <c r="AD67" s="3" t="s">
        <v>71</v>
      </c>
      <c r="AE67" s="3" t="s">
        <v>72</v>
      </c>
      <c r="AF67" s="3" t="s">
        <v>73</v>
      </c>
      <c r="AG67" s="3" t="s">
        <v>74</v>
      </c>
      <c r="AH67" s="3" t="s">
        <v>75</v>
      </c>
      <c r="AI67" s="3" t="s">
        <v>76</v>
      </c>
      <c r="AJ67" s="3" t="s">
        <v>77</v>
      </c>
      <c r="AK67" s="4" t="s">
        <v>78</v>
      </c>
      <c r="AL67" s="3" t="s">
        <v>79</v>
      </c>
    </row>
    <row r="68" customFormat="false" ht="15" hidden="false" customHeight="true" outlineLevel="0" collapsed="false">
      <c r="A68" s="3" t="s">
        <v>348</v>
      </c>
      <c r="B68" s="3" t="s">
        <v>333</v>
      </c>
      <c r="C68" s="3" t="s">
        <v>81</v>
      </c>
      <c r="D68" s="3" t="s">
        <v>82</v>
      </c>
      <c r="E68" s="3" t="s">
        <v>42</v>
      </c>
      <c r="F68" s="3" t="s">
        <v>152</v>
      </c>
      <c r="G68" s="3" t="s">
        <v>153</v>
      </c>
      <c r="H68" s="3" t="s">
        <v>45</v>
      </c>
      <c r="I68" s="3" t="s">
        <v>46</v>
      </c>
      <c r="J68" s="3" t="s">
        <v>86</v>
      </c>
      <c r="K68" s="3" t="s">
        <v>48</v>
      </c>
      <c r="L68" s="3" t="s">
        <v>346</v>
      </c>
      <c r="M68" s="3" t="s">
        <v>61</v>
      </c>
      <c r="N68" s="3" t="s">
        <v>62</v>
      </c>
      <c r="O68" s="3" t="s">
        <v>52</v>
      </c>
      <c r="P68" s="3" t="s">
        <v>344</v>
      </c>
      <c r="Q68" s="3" t="s">
        <v>54</v>
      </c>
      <c r="R68" s="3" t="s">
        <v>139</v>
      </c>
      <c r="S68" s="3" t="s">
        <v>93</v>
      </c>
      <c r="T68" s="3" t="s">
        <v>94</v>
      </c>
      <c r="U68" s="3" t="s">
        <v>94</v>
      </c>
      <c r="V68" s="3" t="s">
        <v>94</v>
      </c>
      <c r="W68" s="3" t="s">
        <v>94</v>
      </c>
      <c r="X68" s="3" t="s">
        <v>94</v>
      </c>
      <c r="Y68" s="3" t="s">
        <v>95</v>
      </c>
      <c r="Z68" s="3" t="s">
        <v>96</v>
      </c>
      <c r="AA68" s="3" t="s">
        <v>97</v>
      </c>
      <c r="AB68" s="3" t="s">
        <v>98</v>
      </c>
      <c r="AC68" s="3" t="s">
        <v>99</v>
      </c>
      <c r="AD68" s="3" t="s">
        <v>100</v>
      </c>
      <c r="AE68" s="3" t="s">
        <v>101</v>
      </c>
      <c r="AF68" s="3" t="s">
        <v>102</v>
      </c>
      <c r="AG68" s="3" t="s">
        <v>103</v>
      </c>
      <c r="AH68" s="3" t="s">
        <v>104</v>
      </c>
      <c r="AI68" s="3" t="s">
        <v>105</v>
      </c>
      <c r="AJ68" s="3" t="s">
        <v>106</v>
      </c>
      <c r="AK68" s="4" t="s">
        <v>107</v>
      </c>
      <c r="AL68" s="3" t="s">
        <v>108</v>
      </c>
    </row>
    <row r="69" customFormat="false" ht="15" hidden="false" customHeight="true" outlineLevel="0" collapsed="false">
      <c r="A69" s="3" t="s">
        <v>349</v>
      </c>
      <c r="B69" s="3" t="s">
        <v>333</v>
      </c>
      <c r="C69" s="3" t="s">
        <v>110</v>
      </c>
      <c r="D69" s="3"/>
      <c r="E69" s="3" t="s">
        <v>83</v>
      </c>
      <c r="F69" s="3" t="s">
        <v>161</v>
      </c>
      <c r="G69" s="3" t="s">
        <v>162</v>
      </c>
      <c r="H69" s="3" t="s">
        <v>45</v>
      </c>
      <c r="I69" s="3" t="s">
        <v>46</v>
      </c>
      <c r="J69" s="3" t="s">
        <v>92</v>
      </c>
      <c r="K69" s="3" t="s">
        <v>60</v>
      </c>
      <c r="L69" s="3" t="s">
        <v>350</v>
      </c>
      <c r="M69" s="3" t="s">
        <v>89</v>
      </c>
      <c r="N69" s="3" t="s">
        <v>90</v>
      </c>
      <c r="O69" s="3" t="s">
        <v>52</v>
      </c>
      <c r="P69" s="3" t="s">
        <v>351</v>
      </c>
      <c r="Q69" s="3" t="s">
        <v>64</v>
      </c>
      <c r="R69" s="3" t="s">
        <v>139</v>
      </c>
      <c r="S69" s="3" t="s">
        <v>116</v>
      </c>
      <c r="T69" s="3" t="s">
        <v>117</v>
      </c>
      <c r="U69" s="3" t="s">
        <v>117</v>
      </c>
      <c r="V69" s="3" t="s">
        <v>117</v>
      </c>
      <c r="W69" s="3" t="s">
        <v>66</v>
      </c>
      <c r="X69" s="3" t="s">
        <v>66</v>
      </c>
      <c r="Y69" s="3" t="s">
        <v>118</v>
      </c>
      <c r="Z69" s="3" t="s">
        <v>119</v>
      </c>
      <c r="AA69" s="3" t="s">
        <v>120</v>
      </c>
      <c r="AB69" s="3" t="s">
        <v>121</v>
      </c>
      <c r="AC69" s="3" t="s">
        <v>122</v>
      </c>
      <c r="AD69" s="3" t="s">
        <v>123</v>
      </c>
      <c r="AE69" s="3" t="s">
        <v>72</v>
      </c>
      <c r="AF69" s="3" t="s">
        <v>124</v>
      </c>
      <c r="AG69" s="3" t="s">
        <v>125</v>
      </c>
      <c r="AH69" s="3" t="s">
        <v>126</v>
      </c>
      <c r="AI69" s="3" t="s">
        <v>127</v>
      </c>
      <c r="AJ69" s="3" t="s">
        <v>128</v>
      </c>
      <c r="AK69" s="4" t="s">
        <v>129</v>
      </c>
      <c r="AL69" s="3" t="s">
        <v>130</v>
      </c>
    </row>
    <row r="70" customFormat="false" ht="15" hidden="false" customHeight="true" outlineLevel="0" collapsed="false">
      <c r="A70" s="3" t="s">
        <v>352</v>
      </c>
      <c r="B70" s="3" t="s">
        <v>333</v>
      </c>
      <c r="C70" s="3" t="s">
        <v>132</v>
      </c>
      <c r="D70" s="3" t="s">
        <v>41</v>
      </c>
      <c r="E70" s="3" t="s">
        <v>151</v>
      </c>
      <c r="F70" s="3" t="s">
        <v>171</v>
      </c>
      <c r="G70" s="3" t="s">
        <v>172</v>
      </c>
      <c r="H70" s="3" t="s">
        <v>45</v>
      </c>
      <c r="I70" s="3" t="s">
        <v>46</v>
      </c>
      <c r="J70" s="3" t="s">
        <v>47</v>
      </c>
      <c r="K70" s="3" t="s">
        <v>87</v>
      </c>
      <c r="L70" s="3" t="s">
        <v>353</v>
      </c>
      <c r="M70" s="3" t="s">
        <v>156</v>
      </c>
      <c r="N70" s="3" t="s">
        <v>156</v>
      </c>
      <c r="O70" s="3" t="s">
        <v>52</v>
      </c>
      <c r="P70" s="3" t="s">
        <v>354</v>
      </c>
      <c r="Q70" s="3" t="s">
        <v>92</v>
      </c>
      <c r="R70" s="3" t="s">
        <v>158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customFormat="false" ht="26.25" hidden="false" customHeight="true" outlineLevel="0" collapsed="false">
      <c r="A71" s="3" t="s">
        <v>355</v>
      </c>
      <c r="B71" s="3" t="s">
        <v>333</v>
      </c>
      <c r="C71" s="3" t="s">
        <v>141</v>
      </c>
      <c r="D71" s="3" t="s">
        <v>58</v>
      </c>
      <c r="E71" s="3" t="s">
        <v>42</v>
      </c>
      <c r="F71" s="3" t="s">
        <v>219</v>
      </c>
      <c r="G71" s="3" t="s">
        <v>220</v>
      </c>
      <c r="H71" s="3" t="s">
        <v>45</v>
      </c>
      <c r="I71" s="3" t="s">
        <v>46</v>
      </c>
      <c r="J71" s="3" t="s">
        <v>59</v>
      </c>
      <c r="K71" s="3" t="s">
        <v>114</v>
      </c>
      <c r="L71" s="3" t="s">
        <v>356</v>
      </c>
      <c r="M71" s="3" t="s">
        <v>164</v>
      </c>
      <c r="N71" s="3" t="s">
        <v>165</v>
      </c>
      <c r="O71" s="3" t="s">
        <v>52</v>
      </c>
      <c r="P71" s="3" t="s">
        <v>357</v>
      </c>
      <c r="Q71" s="3" t="s">
        <v>54</v>
      </c>
      <c r="R71" s="3" t="s">
        <v>176</v>
      </c>
      <c r="S71" s="3" t="s">
        <v>65</v>
      </c>
      <c r="T71" s="3" t="s">
        <v>39</v>
      </c>
      <c r="U71" s="3" t="s">
        <v>39</v>
      </c>
      <c r="V71" s="3" t="s">
        <v>39</v>
      </c>
      <c r="W71" s="3" t="s">
        <v>66</v>
      </c>
      <c r="X71" s="3" t="s">
        <v>66</v>
      </c>
      <c r="Y71" s="3" t="s">
        <v>67</v>
      </c>
      <c r="Z71" s="3" t="s">
        <v>68</v>
      </c>
      <c r="AA71" s="3" t="s">
        <v>69</v>
      </c>
      <c r="AB71" s="3" t="s">
        <v>60</v>
      </c>
      <c r="AC71" s="3" t="s">
        <v>70</v>
      </c>
      <c r="AD71" s="3" t="s">
        <v>71</v>
      </c>
      <c r="AE71" s="3" t="s">
        <v>72</v>
      </c>
      <c r="AF71" s="3" t="s">
        <v>73</v>
      </c>
      <c r="AG71" s="3" t="s">
        <v>74</v>
      </c>
      <c r="AH71" s="3" t="s">
        <v>75</v>
      </c>
      <c r="AI71" s="3" t="s">
        <v>76</v>
      </c>
      <c r="AJ71" s="3" t="s">
        <v>77</v>
      </c>
      <c r="AK71" s="4" t="s">
        <v>78</v>
      </c>
      <c r="AL71" s="3" t="s">
        <v>79</v>
      </c>
    </row>
    <row r="72" customFormat="false" ht="26.25" hidden="false" customHeight="true" outlineLevel="0" collapsed="false">
      <c r="A72" s="3" t="s">
        <v>358</v>
      </c>
      <c r="B72" s="3" t="s">
        <v>333</v>
      </c>
      <c r="C72" s="3" t="s">
        <v>150</v>
      </c>
      <c r="D72" s="3" t="s">
        <v>82</v>
      </c>
      <c r="E72" s="3" t="s">
        <v>42</v>
      </c>
      <c r="F72" s="3" t="s">
        <v>219</v>
      </c>
      <c r="G72" s="3" t="s">
        <v>220</v>
      </c>
      <c r="H72" s="3" t="s">
        <v>45</v>
      </c>
      <c r="I72" s="3" t="s">
        <v>46</v>
      </c>
      <c r="J72" s="3" t="s">
        <v>86</v>
      </c>
      <c r="K72" s="3" t="s">
        <v>154</v>
      </c>
      <c r="L72" s="3" t="s">
        <v>356</v>
      </c>
      <c r="M72" s="3" t="s">
        <v>61</v>
      </c>
      <c r="N72" s="3" t="s">
        <v>114</v>
      </c>
      <c r="O72" s="3" t="s">
        <v>168</v>
      </c>
      <c r="P72" s="3" t="s">
        <v>359</v>
      </c>
      <c r="Q72" s="3" t="s">
        <v>64</v>
      </c>
      <c r="R72" s="3" t="s">
        <v>176</v>
      </c>
      <c r="S72" s="3" t="s">
        <v>93</v>
      </c>
      <c r="T72" s="3" t="s">
        <v>94</v>
      </c>
      <c r="U72" s="3" t="s">
        <v>94</v>
      </c>
      <c r="V72" s="3" t="s">
        <v>94</v>
      </c>
      <c r="W72" s="3" t="s">
        <v>94</v>
      </c>
      <c r="X72" s="3" t="s">
        <v>94</v>
      </c>
      <c r="Y72" s="3" t="s">
        <v>95</v>
      </c>
      <c r="Z72" s="3" t="s">
        <v>96</v>
      </c>
      <c r="AA72" s="3" t="s">
        <v>97</v>
      </c>
      <c r="AB72" s="3" t="s">
        <v>98</v>
      </c>
      <c r="AC72" s="3" t="s">
        <v>99</v>
      </c>
      <c r="AD72" s="3" t="s">
        <v>100</v>
      </c>
      <c r="AE72" s="3" t="s">
        <v>101</v>
      </c>
      <c r="AF72" s="3" t="s">
        <v>102</v>
      </c>
      <c r="AG72" s="3" t="s">
        <v>103</v>
      </c>
      <c r="AH72" s="3" t="s">
        <v>104</v>
      </c>
      <c r="AI72" s="3" t="s">
        <v>105</v>
      </c>
      <c r="AJ72" s="3" t="s">
        <v>106</v>
      </c>
      <c r="AK72" s="4" t="s">
        <v>107</v>
      </c>
      <c r="AL72" s="3" t="s">
        <v>108</v>
      </c>
    </row>
    <row r="73" customFormat="false" ht="26.25" hidden="false" customHeight="true" outlineLevel="0" collapsed="false">
      <c r="A73" s="3" t="s">
        <v>360</v>
      </c>
      <c r="B73" s="3" t="s">
        <v>333</v>
      </c>
      <c r="C73" s="3" t="s">
        <v>160</v>
      </c>
      <c r="D73" s="3"/>
      <c r="E73" s="3" t="s">
        <v>83</v>
      </c>
      <c r="F73" s="3" t="s">
        <v>178</v>
      </c>
      <c r="G73" s="3" t="s">
        <v>179</v>
      </c>
      <c r="H73" s="3" t="s">
        <v>45</v>
      </c>
      <c r="I73" s="3" t="s">
        <v>46</v>
      </c>
      <c r="J73" s="3" t="s">
        <v>92</v>
      </c>
      <c r="K73" s="3" t="s">
        <v>48</v>
      </c>
      <c r="L73" s="3" t="s">
        <v>361</v>
      </c>
      <c r="M73" s="3" t="s">
        <v>89</v>
      </c>
      <c r="N73" s="3" t="s">
        <v>89</v>
      </c>
      <c r="O73" s="3" t="s">
        <v>137</v>
      </c>
      <c r="P73" s="3" t="s">
        <v>362</v>
      </c>
      <c r="Q73" s="3" t="s">
        <v>92</v>
      </c>
      <c r="R73" s="3" t="s">
        <v>176</v>
      </c>
      <c r="S73" s="3" t="s">
        <v>116</v>
      </c>
      <c r="T73" s="3" t="s">
        <v>117</v>
      </c>
      <c r="U73" s="3" t="s">
        <v>117</v>
      </c>
      <c r="V73" s="3" t="s">
        <v>117</v>
      </c>
      <c r="W73" s="3" t="s">
        <v>66</v>
      </c>
      <c r="X73" s="3" t="s">
        <v>66</v>
      </c>
      <c r="Y73" s="3" t="s">
        <v>118</v>
      </c>
      <c r="Z73" s="3" t="s">
        <v>119</v>
      </c>
      <c r="AA73" s="3" t="s">
        <v>120</v>
      </c>
      <c r="AB73" s="3" t="s">
        <v>121</v>
      </c>
      <c r="AC73" s="3" t="s">
        <v>122</v>
      </c>
      <c r="AD73" s="3" t="s">
        <v>123</v>
      </c>
      <c r="AE73" s="3" t="s">
        <v>72</v>
      </c>
      <c r="AF73" s="3" t="s">
        <v>124</v>
      </c>
      <c r="AG73" s="3" t="s">
        <v>125</v>
      </c>
      <c r="AH73" s="3" t="s">
        <v>126</v>
      </c>
      <c r="AI73" s="3" t="s">
        <v>127</v>
      </c>
      <c r="AJ73" s="3" t="s">
        <v>128</v>
      </c>
      <c r="AK73" s="4" t="s">
        <v>129</v>
      </c>
      <c r="AL73" s="3" t="s">
        <v>130</v>
      </c>
    </row>
    <row r="74" customFormat="false" ht="15" hidden="false" customHeight="true" outlineLevel="0" collapsed="false">
      <c r="A74" s="3" t="s">
        <v>363</v>
      </c>
      <c r="B74" s="3" t="s">
        <v>333</v>
      </c>
      <c r="C74" s="3" t="s">
        <v>40</v>
      </c>
      <c r="D74" s="3" t="s">
        <v>41</v>
      </c>
      <c r="E74" s="3" t="s">
        <v>111</v>
      </c>
      <c r="F74" s="3" t="s">
        <v>184</v>
      </c>
      <c r="G74" s="3" t="s">
        <v>185</v>
      </c>
      <c r="H74" s="3" t="s">
        <v>186</v>
      </c>
      <c r="I74" s="3" t="s">
        <v>46</v>
      </c>
      <c r="J74" s="3" t="s">
        <v>47</v>
      </c>
      <c r="K74" s="3" t="s">
        <v>48</v>
      </c>
      <c r="L74" s="3" t="s">
        <v>364</v>
      </c>
      <c r="M74" s="3" t="s">
        <v>230</v>
      </c>
      <c r="N74" s="3" t="s">
        <v>147</v>
      </c>
      <c r="O74" s="3" t="s">
        <v>52</v>
      </c>
      <c r="P74" s="3" t="s">
        <v>365</v>
      </c>
      <c r="Q74" s="3" t="s">
        <v>54</v>
      </c>
      <c r="R74" s="3" t="s">
        <v>176</v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customFormat="false" ht="15" hidden="false" customHeight="true" outlineLevel="0" collapsed="false">
      <c r="A75" s="3" t="s">
        <v>366</v>
      </c>
      <c r="B75" s="3" t="s">
        <v>367</v>
      </c>
      <c r="C75" s="3" t="s">
        <v>57</v>
      </c>
      <c r="D75" s="3" t="s">
        <v>58</v>
      </c>
      <c r="E75" s="3" t="s">
        <v>111</v>
      </c>
      <c r="F75" s="3" t="s">
        <v>43</v>
      </c>
      <c r="G75" s="3" t="s">
        <v>44</v>
      </c>
      <c r="H75" s="3" t="s">
        <v>45</v>
      </c>
      <c r="I75" s="3" t="s">
        <v>46</v>
      </c>
      <c r="J75" s="3" t="s">
        <v>59</v>
      </c>
      <c r="K75" s="3" t="s">
        <v>60</v>
      </c>
      <c r="L75" s="3" t="s">
        <v>368</v>
      </c>
      <c r="M75" s="3" t="s">
        <v>174</v>
      </c>
      <c r="N75" s="3" t="s">
        <v>174</v>
      </c>
      <c r="O75" s="3" t="s">
        <v>137</v>
      </c>
      <c r="P75" s="3" t="s">
        <v>369</v>
      </c>
      <c r="Q75" s="3" t="s">
        <v>64</v>
      </c>
      <c r="R75" s="3" t="s">
        <v>55</v>
      </c>
      <c r="S75" s="3" t="s">
        <v>65</v>
      </c>
      <c r="T75" s="3" t="s">
        <v>39</v>
      </c>
      <c r="U75" s="3" t="s">
        <v>39</v>
      </c>
      <c r="V75" s="3" t="s">
        <v>39</v>
      </c>
      <c r="W75" s="3" t="s">
        <v>66</v>
      </c>
      <c r="X75" s="3" t="s">
        <v>66</v>
      </c>
      <c r="Y75" s="3" t="s">
        <v>67</v>
      </c>
      <c r="Z75" s="3" t="s">
        <v>68</v>
      </c>
      <c r="AA75" s="3" t="s">
        <v>69</v>
      </c>
      <c r="AB75" s="3" t="s">
        <v>60</v>
      </c>
      <c r="AC75" s="3" t="s">
        <v>70</v>
      </c>
      <c r="AD75" s="3" t="s">
        <v>71</v>
      </c>
      <c r="AE75" s="3" t="s">
        <v>72</v>
      </c>
      <c r="AF75" s="3" t="s">
        <v>73</v>
      </c>
      <c r="AG75" s="3" t="s">
        <v>74</v>
      </c>
      <c r="AH75" s="3" t="s">
        <v>75</v>
      </c>
      <c r="AI75" s="3" t="s">
        <v>76</v>
      </c>
      <c r="AJ75" s="3" t="s">
        <v>77</v>
      </c>
      <c r="AK75" s="4" t="s">
        <v>78</v>
      </c>
      <c r="AL75" s="3" t="s">
        <v>79</v>
      </c>
    </row>
    <row r="76" customFormat="false" ht="15" hidden="false" customHeight="true" outlineLevel="0" collapsed="false">
      <c r="A76" s="3" t="s">
        <v>370</v>
      </c>
      <c r="B76" s="3" t="s">
        <v>367</v>
      </c>
      <c r="C76" s="3" t="s">
        <v>81</v>
      </c>
      <c r="D76" s="3" t="s">
        <v>82</v>
      </c>
      <c r="E76" s="3" t="s">
        <v>42</v>
      </c>
      <c r="F76" s="3" t="s">
        <v>112</v>
      </c>
      <c r="G76" s="3" t="s">
        <v>113</v>
      </c>
      <c r="H76" s="3" t="s">
        <v>45</v>
      </c>
      <c r="I76" s="3" t="s">
        <v>46</v>
      </c>
      <c r="J76" s="3" t="s">
        <v>86</v>
      </c>
      <c r="K76" s="3" t="s">
        <v>87</v>
      </c>
      <c r="L76" s="3" t="s">
        <v>371</v>
      </c>
      <c r="M76" s="3" t="s">
        <v>181</v>
      </c>
      <c r="N76" s="3" t="s">
        <v>181</v>
      </c>
      <c r="O76" s="3" t="s">
        <v>137</v>
      </c>
      <c r="P76" s="3" t="s">
        <v>372</v>
      </c>
      <c r="Q76" s="3" t="s">
        <v>92</v>
      </c>
      <c r="R76" s="3" t="s">
        <v>55</v>
      </c>
      <c r="S76" s="3" t="s">
        <v>93</v>
      </c>
      <c r="T76" s="3" t="s">
        <v>94</v>
      </c>
      <c r="U76" s="3" t="s">
        <v>94</v>
      </c>
      <c r="V76" s="3" t="s">
        <v>94</v>
      </c>
      <c r="W76" s="3" t="s">
        <v>94</v>
      </c>
      <c r="X76" s="3" t="s">
        <v>94</v>
      </c>
      <c r="Y76" s="3" t="s">
        <v>95</v>
      </c>
      <c r="Z76" s="3" t="s">
        <v>96</v>
      </c>
      <c r="AA76" s="3" t="s">
        <v>97</v>
      </c>
      <c r="AB76" s="3" t="s">
        <v>98</v>
      </c>
      <c r="AC76" s="3" t="s">
        <v>99</v>
      </c>
      <c r="AD76" s="3" t="s">
        <v>100</v>
      </c>
      <c r="AE76" s="3" t="s">
        <v>101</v>
      </c>
      <c r="AF76" s="3" t="s">
        <v>102</v>
      </c>
      <c r="AG76" s="3" t="s">
        <v>103</v>
      </c>
      <c r="AH76" s="3" t="s">
        <v>104</v>
      </c>
      <c r="AI76" s="3" t="s">
        <v>105</v>
      </c>
      <c r="AJ76" s="3" t="s">
        <v>106</v>
      </c>
      <c r="AK76" s="4" t="s">
        <v>107</v>
      </c>
      <c r="AL76" s="3" t="s">
        <v>108</v>
      </c>
    </row>
    <row r="77" customFormat="false" ht="15" hidden="false" customHeight="true" outlineLevel="0" collapsed="false">
      <c r="A77" s="3" t="s">
        <v>373</v>
      </c>
      <c r="B77" s="3" t="s">
        <v>367</v>
      </c>
      <c r="C77" s="3" t="s">
        <v>110</v>
      </c>
      <c r="D77" s="3"/>
      <c r="E77" s="3" t="s">
        <v>83</v>
      </c>
      <c r="F77" s="3" t="s">
        <v>199</v>
      </c>
      <c r="G77" s="3" t="s">
        <v>200</v>
      </c>
      <c r="H77" s="3" t="s">
        <v>45</v>
      </c>
      <c r="I77" s="3" t="s">
        <v>46</v>
      </c>
      <c r="J77" s="3" t="s">
        <v>92</v>
      </c>
      <c r="K77" s="3" t="s">
        <v>114</v>
      </c>
      <c r="L77" s="3" t="s">
        <v>374</v>
      </c>
      <c r="M77" s="3" t="s">
        <v>61</v>
      </c>
      <c r="N77" s="3" t="s">
        <v>61</v>
      </c>
      <c r="O77" s="3" t="s">
        <v>137</v>
      </c>
      <c r="P77" s="3" t="s">
        <v>375</v>
      </c>
      <c r="Q77" s="3" t="s">
        <v>54</v>
      </c>
      <c r="R77" s="3" t="s">
        <v>55</v>
      </c>
      <c r="S77" s="3" t="s">
        <v>116</v>
      </c>
      <c r="T77" s="3" t="s">
        <v>117</v>
      </c>
      <c r="U77" s="3" t="s">
        <v>117</v>
      </c>
      <c r="V77" s="3" t="s">
        <v>117</v>
      </c>
      <c r="W77" s="3" t="s">
        <v>66</v>
      </c>
      <c r="X77" s="3" t="s">
        <v>66</v>
      </c>
      <c r="Y77" s="3" t="s">
        <v>118</v>
      </c>
      <c r="Z77" s="3" t="s">
        <v>119</v>
      </c>
      <c r="AA77" s="3" t="s">
        <v>120</v>
      </c>
      <c r="AB77" s="3" t="s">
        <v>121</v>
      </c>
      <c r="AC77" s="3" t="s">
        <v>122</v>
      </c>
      <c r="AD77" s="3" t="s">
        <v>123</v>
      </c>
      <c r="AE77" s="3" t="s">
        <v>72</v>
      </c>
      <c r="AF77" s="3" t="s">
        <v>124</v>
      </c>
      <c r="AG77" s="3" t="s">
        <v>125</v>
      </c>
      <c r="AH77" s="3" t="s">
        <v>126</v>
      </c>
      <c r="AI77" s="3" t="s">
        <v>127</v>
      </c>
      <c r="AJ77" s="3" t="s">
        <v>128</v>
      </c>
      <c r="AK77" s="4" t="s">
        <v>129</v>
      </c>
      <c r="AL77" s="3" t="s">
        <v>130</v>
      </c>
    </row>
    <row r="78" customFormat="false" ht="15" hidden="false" customHeight="true" outlineLevel="0" collapsed="false">
      <c r="A78" s="3" t="s">
        <v>376</v>
      </c>
      <c r="B78" s="3" t="s">
        <v>367</v>
      </c>
      <c r="C78" s="3" t="s">
        <v>132</v>
      </c>
      <c r="D78" s="3" t="s">
        <v>41</v>
      </c>
      <c r="E78" s="3" t="s">
        <v>83</v>
      </c>
      <c r="F78" s="3" t="s">
        <v>199</v>
      </c>
      <c r="G78" s="3" t="s">
        <v>200</v>
      </c>
      <c r="H78" s="3" t="s">
        <v>45</v>
      </c>
      <c r="I78" s="3" t="s">
        <v>46</v>
      </c>
      <c r="J78" s="3" t="s">
        <v>47</v>
      </c>
      <c r="K78" s="3" t="s">
        <v>135</v>
      </c>
      <c r="L78" s="3" t="s">
        <v>374</v>
      </c>
      <c r="M78" s="3" t="s">
        <v>61</v>
      </c>
      <c r="N78" s="3" t="s">
        <v>62</v>
      </c>
      <c r="O78" s="3" t="s">
        <v>52</v>
      </c>
      <c r="P78" s="3" t="s">
        <v>377</v>
      </c>
      <c r="Q78" s="3" t="s">
        <v>64</v>
      </c>
      <c r="R78" s="3" t="s">
        <v>55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customFormat="false" ht="26.25" hidden="false" customHeight="true" outlineLevel="0" collapsed="false">
      <c r="A79" s="3" t="s">
        <v>378</v>
      </c>
      <c r="B79" s="3" t="s">
        <v>367</v>
      </c>
      <c r="C79" s="3" t="s">
        <v>141</v>
      </c>
      <c r="D79" s="3" t="s">
        <v>58</v>
      </c>
      <c r="E79" s="3" t="s">
        <v>42</v>
      </c>
      <c r="F79" s="3" t="s">
        <v>142</v>
      </c>
      <c r="G79" s="3" t="s">
        <v>143</v>
      </c>
      <c r="H79" s="3" t="s">
        <v>45</v>
      </c>
      <c r="I79" s="3" t="s">
        <v>46</v>
      </c>
      <c r="J79" s="3" t="s">
        <v>59</v>
      </c>
      <c r="K79" s="3" t="s">
        <v>144</v>
      </c>
      <c r="L79" s="3" t="s">
        <v>379</v>
      </c>
      <c r="M79" s="3" t="s">
        <v>202</v>
      </c>
      <c r="N79" s="3" t="s">
        <v>203</v>
      </c>
      <c r="O79" s="3" t="s">
        <v>168</v>
      </c>
      <c r="P79" s="3" t="s">
        <v>380</v>
      </c>
      <c r="Q79" s="3" t="s">
        <v>92</v>
      </c>
      <c r="R79" s="3" t="s">
        <v>139</v>
      </c>
      <c r="S79" s="3" t="s">
        <v>65</v>
      </c>
      <c r="T79" s="3" t="s">
        <v>39</v>
      </c>
      <c r="U79" s="3" t="s">
        <v>39</v>
      </c>
      <c r="V79" s="3" t="s">
        <v>39</v>
      </c>
      <c r="W79" s="3" t="s">
        <v>66</v>
      </c>
      <c r="X79" s="3" t="s">
        <v>66</v>
      </c>
      <c r="Y79" s="3" t="s">
        <v>67</v>
      </c>
      <c r="Z79" s="3" t="s">
        <v>68</v>
      </c>
      <c r="AA79" s="3" t="s">
        <v>69</v>
      </c>
      <c r="AB79" s="3" t="s">
        <v>60</v>
      </c>
      <c r="AC79" s="3" t="s">
        <v>70</v>
      </c>
      <c r="AD79" s="3" t="s">
        <v>71</v>
      </c>
      <c r="AE79" s="3" t="s">
        <v>72</v>
      </c>
      <c r="AF79" s="3" t="s">
        <v>73</v>
      </c>
      <c r="AG79" s="3" t="s">
        <v>74</v>
      </c>
      <c r="AH79" s="3" t="s">
        <v>75</v>
      </c>
      <c r="AI79" s="3" t="s">
        <v>76</v>
      </c>
      <c r="AJ79" s="3" t="s">
        <v>77</v>
      </c>
      <c r="AK79" s="4" t="s">
        <v>78</v>
      </c>
      <c r="AL79" s="3" t="s">
        <v>79</v>
      </c>
    </row>
    <row r="80" customFormat="false" ht="15" hidden="false" customHeight="true" outlineLevel="0" collapsed="false">
      <c r="A80" s="3" t="s">
        <v>381</v>
      </c>
      <c r="B80" s="3" t="s">
        <v>367</v>
      </c>
      <c r="C80" s="3" t="s">
        <v>150</v>
      </c>
      <c r="D80" s="3" t="s">
        <v>82</v>
      </c>
      <c r="E80" s="3" t="s">
        <v>83</v>
      </c>
      <c r="F80" s="3" t="s">
        <v>152</v>
      </c>
      <c r="G80" s="3" t="s">
        <v>153</v>
      </c>
      <c r="H80" s="3" t="s">
        <v>45</v>
      </c>
      <c r="I80" s="3" t="s">
        <v>46</v>
      </c>
      <c r="J80" s="3" t="s">
        <v>86</v>
      </c>
      <c r="K80" s="3" t="s">
        <v>154</v>
      </c>
      <c r="L80" s="3" t="s">
        <v>382</v>
      </c>
      <c r="M80" s="3" t="s">
        <v>89</v>
      </c>
      <c r="N80" s="3" t="s">
        <v>154</v>
      </c>
      <c r="O80" s="3" t="s">
        <v>168</v>
      </c>
      <c r="P80" s="3" t="s">
        <v>383</v>
      </c>
      <c r="Q80" s="3" t="s">
        <v>54</v>
      </c>
      <c r="R80" s="3" t="s">
        <v>139</v>
      </c>
      <c r="S80" s="3" t="s">
        <v>93</v>
      </c>
      <c r="T80" s="3" t="s">
        <v>94</v>
      </c>
      <c r="U80" s="3" t="s">
        <v>94</v>
      </c>
      <c r="V80" s="3" t="s">
        <v>94</v>
      </c>
      <c r="W80" s="3" t="s">
        <v>94</v>
      </c>
      <c r="X80" s="3" t="s">
        <v>94</v>
      </c>
      <c r="Y80" s="3" t="s">
        <v>95</v>
      </c>
      <c r="Z80" s="3" t="s">
        <v>96</v>
      </c>
      <c r="AA80" s="3" t="s">
        <v>97</v>
      </c>
      <c r="AB80" s="3" t="s">
        <v>98</v>
      </c>
      <c r="AC80" s="3" t="s">
        <v>99</v>
      </c>
      <c r="AD80" s="3" t="s">
        <v>100</v>
      </c>
      <c r="AE80" s="3" t="s">
        <v>101</v>
      </c>
      <c r="AF80" s="3" t="s">
        <v>102</v>
      </c>
      <c r="AG80" s="3" t="s">
        <v>103</v>
      </c>
      <c r="AH80" s="3" t="s">
        <v>104</v>
      </c>
      <c r="AI80" s="3" t="s">
        <v>105</v>
      </c>
      <c r="AJ80" s="3" t="s">
        <v>106</v>
      </c>
      <c r="AK80" s="4" t="s">
        <v>107</v>
      </c>
      <c r="AL80" s="3" t="s">
        <v>108</v>
      </c>
    </row>
    <row r="81" customFormat="false" ht="26.25" hidden="false" customHeight="true" outlineLevel="0" collapsed="false">
      <c r="A81" s="3" t="s">
        <v>384</v>
      </c>
      <c r="B81" s="3" t="s">
        <v>367</v>
      </c>
      <c r="C81" s="3" t="s">
        <v>160</v>
      </c>
      <c r="D81" s="3"/>
      <c r="E81" s="3" t="s">
        <v>111</v>
      </c>
      <c r="F81" s="3" t="s">
        <v>161</v>
      </c>
      <c r="G81" s="3" t="s">
        <v>162</v>
      </c>
      <c r="H81" s="3" t="s">
        <v>45</v>
      </c>
      <c r="I81" s="3" t="s">
        <v>46</v>
      </c>
      <c r="J81" s="3" t="s">
        <v>92</v>
      </c>
      <c r="K81" s="3" t="s">
        <v>48</v>
      </c>
      <c r="L81" s="3" t="s">
        <v>385</v>
      </c>
      <c r="M81" s="3" t="s">
        <v>196</v>
      </c>
      <c r="N81" s="3" t="s">
        <v>87</v>
      </c>
      <c r="O81" s="3" t="s">
        <v>168</v>
      </c>
      <c r="P81" s="3" t="s">
        <v>386</v>
      </c>
      <c r="Q81" s="3" t="s">
        <v>64</v>
      </c>
      <c r="R81" s="3" t="s">
        <v>139</v>
      </c>
      <c r="S81" s="3" t="s">
        <v>116</v>
      </c>
      <c r="T81" s="3" t="s">
        <v>117</v>
      </c>
      <c r="U81" s="3" t="s">
        <v>117</v>
      </c>
      <c r="V81" s="3" t="s">
        <v>117</v>
      </c>
      <c r="W81" s="3" t="s">
        <v>66</v>
      </c>
      <c r="X81" s="3" t="s">
        <v>66</v>
      </c>
      <c r="Y81" s="3" t="s">
        <v>118</v>
      </c>
      <c r="Z81" s="3" t="s">
        <v>119</v>
      </c>
      <c r="AA81" s="3" t="s">
        <v>120</v>
      </c>
      <c r="AB81" s="3" t="s">
        <v>121</v>
      </c>
      <c r="AC81" s="3" t="s">
        <v>122</v>
      </c>
      <c r="AD81" s="3" t="s">
        <v>123</v>
      </c>
      <c r="AE81" s="3" t="s">
        <v>72</v>
      </c>
      <c r="AF81" s="3" t="s">
        <v>124</v>
      </c>
      <c r="AG81" s="3" t="s">
        <v>125</v>
      </c>
      <c r="AH81" s="3" t="s">
        <v>126</v>
      </c>
      <c r="AI81" s="3" t="s">
        <v>127</v>
      </c>
      <c r="AJ81" s="3" t="s">
        <v>128</v>
      </c>
      <c r="AK81" s="4" t="s">
        <v>129</v>
      </c>
      <c r="AL81" s="3" t="s">
        <v>130</v>
      </c>
    </row>
    <row r="82" customFormat="false" ht="15" hidden="false" customHeight="true" outlineLevel="0" collapsed="false">
      <c r="A82" s="3" t="s">
        <v>387</v>
      </c>
      <c r="B82" s="3" t="s">
        <v>367</v>
      </c>
      <c r="C82" s="3" t="s">
        <v>40</v>
      </c>
      <c r="D82" s="3" t="s">
        <v>41</v>
      </c>
      <c r="E82" s="3" t="s">
        <v>42</v>
      </c>
      <c r="F82" s="3" t="s">
        <v>171</v>
      </c>
      <c r="G82" s="3" t="s">
        <v>172</v>
      </c>
      <c r="H82" s="3" t="s">
        <v>45</v>
      </c>
      <c r="I82" s="3" t="s">
        <v>46</v>
      </c>
      <c r="J82" s="3" t="s">
        <v>47</v>
      </c>
      <c r="K82" s="3" t="s">
        <v>87</v>
      </c>
      <c r="L82" s="3" t="s">
        <v>388</v>
      </c>
      <c r="M82" s="3" t="s">
        <v>50</v>
      </c>
      <c r="N82" s="3" t="s">
        <v>51</v>
      </c>
      <c r="O82" s="3" t="s">
        <v>52</v>
      </c>
      <c r="P82" s="3" t="s">
        <v>389</v>
      </c>
      <c r="Q82" s="3" t="s">
        <v>92</v>
      </c>
      <c r="R82" s="3" t="s">
        <v>176</v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customFormat="false" ht="26.25" hidden="false" customHeight="true" outlineLevel="0" collapsed="false">
      <c r="A83" s="3" t="s">
        <v>390</v>
      </c>
      <c r="B83" s="3" t="s">
        <v>367</v>
      </c>
      <c r="C83" s="3" t="s">
        <v>57</v>
      </c>
      <c r="D83" s="3" t="s">
        <v>58</v>
      </c>
      <c r="E83" s="3" t="s">
        <v>42</v>
      </c>
      <c r="F83" s="3" t="s">
        <v>171</v>
      </c>
      <c r="G83" s="3" t="s">
        <v>172</v>
      </c>
      <c r="H83" s="3" t="s">
        <v>45</v>
      </c>
      <c r="I83" s="3" t="s">
        <v>46</v>
      </c>
      <c r="J83" s="3" t="s">
        <v>59</v>
      </c>
      <c r="K83" s="3" t="s">
        <v>114</v>
      </c>
      <c r="L83" s="3" t="s">
        <v>388</v>
      </c>
      <c r="M83" s="3" t="s">
        <v>61</v>
      </c>
      <c r="N83" s="3" t="s">
        <v>62</v>
      </c>
      <c r="O83" s="3" t="s">
        <v>52</v>
      </c>
      <c r="P83" s="3" t="s">
        <v>377</v>
      </c>
      <c r="Q83" s="3" t="s">
        <v>54</v>
      </c>
      <c r="R83" s="3" t="s">
        <v>176</v>
      </c>
      <c r="S83" s="3" t="s">
        <v>65</v>
      </c>
      <c r="T83" s="3" t="s">
        <v>39</v>
      </c>
      <c r="U83" s="3" t="s">
        <v>39</v>
      </c>
      <c r="V83" s="3" t="s">
        <v>39</v>
      </c>
      <c r="W83" s="3" t="s">
        <v>66</v>
      </c>
      <c r="X83" s="3" t="s">
        <v>66</v>
      </c>
      <c r="Y83" s="3" t="s">
        <v>67</v>
      </c>
      <c r="Z83" s="3" t="s">
        <v>68</v>
      </c>
      <c r="AA83" s="3" t="s">
        <v>69</v>
      </c>
      <c r="AB83" s="3" t="s">
        <v>60</v>
      </c>
      <c r="AC83" s="3" t="s">
        <v>70</v>
      </c>
      <c r="AD83" s="3" t="s">
        <v>71</v>
      </c>
      <c r="AE83" s="3" t="s">
        <v>72</v>
      </c>
      <c r="AF83" s="3" t="s">
        <v>73</v>
      </c>
      <c r="AG83" s="3" t="s">
        <v>74</v>
      </c>
      <c r="AH83" s="3" t="s">
        <v>75</v>
      </c>
      <c r="AI83" s="3" t="s">
        <v>76</v>
      </c>
      <c r="AJ83" s="3" t="s">
        <v>77</v>
      </c>
      <c r="AK83" s="4" t="s">
        <v>78</v>
      </c>
      <c r="AL83" s="3" t="s">
        <v>79</v>
      </c>
    </row>
    <row r="84" customFormat="false" ht="15" hidden="false" customHeight="true" outlineLevel="0" collapsed="false">
      <c r="A84" s="3" t="s">
        <v>391</v>
      </c>
      <c r="B84" s="3" t="s">
        <v>367</v>
      </c>
      <c r="C84" s="3" t="s">
        <v>81</v>
      </c>
      <c r="D84" s="3" t="s">
        <v>82</v>
      </c>
      <c r="E84" s="3" t="s">
        <v>83</v>
      </c>
      <c r="F84" s="3" t="s">
        <v>219</v>
      </c>
      <c r="G84" s="3" t="s">
        <v>220</v>
      </c>
      <c r="H84" s="3" t="s">
        <v>45</v>
      </c>
      <c r="I84" s="3" t="s">
        <v>46</v>
      </c>
      <c r="J84" s="3" t="s">
        <v>86</v>
      </c>
      <c r="K84" s="3" t="s">
        <v>135</v>
      </c>
      <c r="L84" s="3" t="s">
        <v>392</v>
      </c>
      <c r="M84" s="3" t="s">
        <v>89</v>
      </c>
      <c r="N84" s="3" t="s">
        <v>90</v>
      </c>
      <c r="O84" s="3" t="s">
        <v>52</v>
      </c>
      <c r="P84" s="3" t="s">
        <v>393</v>
      </c>
      <c r="Q84" s="3" t="s">
        <v>64</v>
      </c>
      <c r="R84" s="3" t="s">
        <v>176</v>
      </c>
      <c r="S84" s="3" t="s">
        <v>93</v>
      </c>
      <c r="T84" s="3" t="s">
        <v>94</v>
      </c>
      <c r="U84" s="3" t="s">
        <v>94</v>
      </c>
      <c r="V84" s="3" t="s">
        <v>94</v>
      </c>
      <c r="W84" s="3" t="s">
        <v>94</v>
      </c>
      <c r="X84" s="3" t="s">
        <v>94</v>
      </c>
      <c r="Y84" s="3" t="s">
        <v>95</v>
      </c>
      <c r="Z84" s="3" t="s">
        <v>96</v>
      </c>
      <c r="AA84" s="3" t="s">
        <v>97</v>
      </c>
      <c r="AB84" s="3" t="s">
        <v>98</v>
      </c>
      <c r="AC84" s="3" t="s">
        <v>99</v>
      </c>
      <c r="AD84" s="3" t="s">
        <v>100</v>
      </c>
      <c r="AE84" s="3" t="s">
        <v>101</v>
      </c>
      <c r="AF84" s="3" t="s">
        <v>102</v>
      </c>
      <c r="AG84" s="3" t="s">
        <v>103</v>
      </c>
      <c r="AH84" s="3" t="s">
        <v>104</v>
      </c>
      <c r="AI84" s="3" t="s">
        <v>105</v>
      </c>
      <c r="AJ84" s="3" t="s">
        <v>106</v>
      </c>
      <c r="AK84" s="4" t="s">
        <v>107</v>
      </c>
      <c r="AL84" s="3" t="s">
        <v>108</v>
      </c>
    </row>
    <row r="85" customFormat="false" ht="26.25" hidden="false" customHeight="true" outlineLevel="0" collapsed="false">
      <c r="A85" s="3" t="s">
        <v>394</v>
      </c>
      <c r="B85" s="3" t="s">
        <v>367</v>
      </c>
      <c r="C85" s="3" t="s">
        <v>110</v>
      </c>
      <c r="D85" s="3"/>
      <c r="E85" s="3" t="s">
        <v>111</v>
      </c>
      <c r="F85" s="3" t="s">
        <v>178</v>
      </c>
      <c r="G85" s="3" t="s">
        <v>179</v>
      </c>
      <c r="H85" s="3" t="s">
        <v>45</v>
      </c>
      <c r="I85" s="3" t="s">
        <v>46</v>
      </c>
      <c r="J85" s="3" t="s">
        <v>92</v>
      </c>
      <c r="K85" s="3" t="s">
        <v>144</v>
      </c>
      <c r="L85" s="3" t="s">
        <v>395</v>
      </c>
      <c r="M85" s="3" t="s">
        <v>61</v>
      </c>
      <c r="N85" s="3" t="s">
        <v>62</v>
      </c>
      <c r="O85" s="3" t="s">
        <v>52</v>
      </c>
      <c r="P85" s="3" t="s">
        <v>377</v>
      </c>
      <c r="Q85" s="3" t="s">
        <v>92</v>
      </c>
      <c r="R85" s="3" t="s">
        <v>176</v>
      </c>
      <c r="S85" s="3" t="s">
        <v>116</v>
      </c>
      <c r="T85" s="3" t="s">
        <v>117</v>
      </c>
      <c r="U85" s="3" t="s">
        <v>117</v>
      </c>
      <c r="V85" s="3" t="s">
        <v>117</v>
      </c>
      <c r="W85" s="3" t="s">
        <v>66</v>
      </c>
      <c r="X85" s="3" t="s">
        <v>66</v>
      </c>
      <c r="Y85" s="3" t="s">
        <v>118</v>
      </c>
      <c r="Z85" s="3" t="s">
        <v>119</v>
      </c>
      <c r="AA85" s="3" t="s">
        <v>120</v>
      </c>
      <c r="AB85" s="3" t="s">
        <v>121</v>
      </c>
      <c r="AC85" s="3" t="s">
        <v>122</v>
      </c>
      <c r="AD85" s="3" t="s">
        <v>123</v>
      </c>
      <c r="AE85" s="3" t="s">
        <v>72</v>
      </c>
      <c r="AF85" s="3" t="s">
        <v>124</v>
      </c>
      <c r="AG85" s="3" t="s">
        <v>125</v>
      </c>
      <c r="AH85" s="3" t="s">
        <v>126</v>
      </c>
      <c r="AI85" s="3" t="s">
        <v>127</v>
      </c>
      <c r="AJ85" s="3" t="s">
        <v>128</v>
      </c>
      <c r="AK85" s="4" t="s">
        <v>129</v>
      </c>
      <c r="AL85" s="3" t="s">
        <v>130</v>
      </c>
    </row>
    <row r="86" customFormat="false" ht="15" hidden="false" customHeight="true" outlineLevel="0" collapsed="false">
      <c r="A86" s="3" t="s">
        <v>396</v>
      </c>
      <c r="B86" s="3" t="s">
        <v>397</v>
      </c>
      <c r="C86" s="3" t="s">
        <v>132</v>
      </c>
      <c r="D86" s="3" t="s">
        <v>41</v>
      </c>
      <c r="E86" s="3" t="s">
        <v>151</v>
      </c>
      <c r="F86" s="3" t="s">
        <v>43</v>
      </c>
      <c r="G86" s="3" t="s">
        <v>44</v>
      </c>
      <c r="H86" s="3" t="s">
        <v>45</v>
      </c>
      <c r="I86" s="3" t="s">
        <v>46</v>
      </c>
      <c r="J86" s="3" t="s">
        <v>47</v>
      </c>
      <c r="K86" s="3" t="s">
        <v>48</v>
      </c>
      <c r="L86" s="3" t="s">
        <v>398</v>
      </c>
      <c r="M86" s="3" t="s">
        <v>156</v>
      </c>
      <c r="N86" s="3" t="s">
        <v>156</v>
      </c>
      <c r="O86" s="3" t="s">
        <v>52</v>
      </c>
      <c r="P86" s="3" t="s">
        <v>399</v>
      </c>
      <c r="Q86" s="3" t="s">
        <v>54</v>
      </c>
      <c r="R86" s="3" t="s">
        <v>158</v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customFormat="false" ht="26.25" hidden="false" customHeight="true" outlineLevel="0" collapsed="false">
      <c r="A87" s="3" t="s">
        <v>400</v>
      </c>
      <c r="B87" s="3" t="s">
        <v>397</v>
      </c>
      <c r="C87" s="3" t="s">
        <v>141</v>
      </c>
      <c r="D87" s="3" t="s">
        <v>58</v>
      </c>
      <c r="E87" s="3" t="s">
        <v>42</v>
      </c>
      <c r="F87" s="3" t="s">
        <v>84</v>
      </c>
      <c r="G87" s="3" t="s">
        <v>85</v>
      </c>
      <c r="H87" s="3" t="s">
        <v>45</v>
      </c>
      <c r="I87" s="3" t="s">
        <v>46</v>
      </c>
      <c r="J87" s="3" t="s">
        <v>59</v>
      </c>
      <c r="K87" s="3" t="s">
        <v>60</v>
      </c>
      <c r="L87" s="3" t="s">
        <v>401</v>
      </c>
      <c r="M87" s="3" t="s">
        <v>164</v>
      </c>
      <c r="N87" s="3" t="s">
        <v>165</v>
      </c>
      <c r="O87" s="3" t="s">
        <v>52</v>
      </c>
      <c r="P87" s="3" t="s">
        <v>402</v>
      </c>
      <c r="Q87" s="3" t="s">
        <v>64</v>
      </c>
      <c r="R87" s="3" t="s">
        <v>55</v>
      </c>
      <c r="S87" s="3" t="s">
        <v>65</v>
      </c>
      <c r="T87" s="3" t="s">
        <v>39</v>
      </c>
      <c r="U87" s="3" t="s">
        <v>39</v>
      </c>
      <c r="V87" s="3" t="s">
        <v>39</v>
      </c>
      <c r="W87" s="3" t="s">
        <v>66</v>
      </c>
      <c r="X87" s="3" t="s">
        <v>66</v>
      </c>
      <c r="Y87" s="3" t="s">
        <v>67</v>
      </c>
      <c r="Z87" s="3" t="s">
        <v>68</v>
      </c>
      <c r="AA87" s="3" t="s">
        <v>69</v>
      </c>
      <c r="AB87" s="3" t="s">
        <v>60</v>
      </c>
      <c r="AC87" s="3" t="s">
        <v>70</v>
      </c>
      <c r="AD87" s="3" t="s">
        <v>71</v>
      </c>
      <c r="AE87" s="3" t="s">
        <v>72</v>
      </c>
      <c r="AF87" s="3" t="s">
        <v>73</v>
      </c>
      <c r="AG87" s="3" t="s">
        <v>74</v>
      </c>
      <c r="AH87" s="3" t="s">
        <v>75</v>
      </c>
      <c r="AI87" s="3" t="s">
        <v>76</v>
      </c>
      <c r="AJ87" s="3" t="s">
        <v>77</v>
      </c>
      <c r="AK87" s="4" t="s">
        <v>78</v>
      </c>
      <c r="AL87" s="3" t="s">
        <v>79</v>
      </c>
    </row>
    <row r="88" customFormat="false" ht="15" hidden="false" customHeight="true" outlineLevel="0" collapsed="false">
      <c r="A88" s="3" t="s">
        <v>403</v>
      </c>
      <c r="B88" s="3" t="s">
        <v>397</v>
      </c>
      <c r="C88" s="3" t="s">
        <v>150</v>
      </c>
      <c r="D88" s="3" t="s">
        <v>82</v>
      </c>
      <c r="E88" s="3" t="s">
        <v>42</v>
      </c>
      <c r="F88" s="3" t="s">
        <v>84</v>
      </c>
      <c r="G88" s="3" t="s">
        <v>85</v>
      </c>
      <c r="H88" s="3" t="s">
        <v>45</v>
      </c>
      <c r="I88" s="3" t="s">
        <v>46</v>
      </c>
      <c r="J88" s="3" t="s">
        <v>86</v>
      </c>
      <c r="K88" s="3" t="s">
        <v>154</v>
      </c>
      <c r="L88" s="3" t="s">
        <v>401</v>
      </c>
      <c r="M88" s="3" t="s">
        <v>61</v>
      </c>
      <c r="N88" s="3" t="s">
        <v>114</v>
      </c>
      <c r="O88" s="3" t="s">
        <v>168</v>
      </c>
      <c r="P88" s="3" t="s">
        <v>404</v>
      </c>
      <c r="Q88" s="3" t="s">
        <v>92</v>
      </c>
      <c r="R88" s="3" t="s">
        <v>55</v>
      </c>
      <c r="S88" s="3" t="s">
        <v>93</v>
      </c>
      <c r="T88" s="3" t="s">
        <v>94</v>
      </c>
      <c r="U88" s="3" t="s">
        <v>94</v>
      </c>
      <c r="V88" s="3" t="s">
        <v>94</v>
      </c>
      <c r="W88" s="3" t="s">
        <v>94</v>
      </c>
      <c r="X88" s="3" t="s">
        <v>94</v>
      </c>
      <c r="Y88" s="3" t="s">
        <v>95</v>
      </c>
      <c r="Z88" s="3" t="s">
        <v>96</v>
      </c>
      <c r="AA88" s="3" t="s">
        <v>97</v>
      </c>
      <c r="AB88" s="3" t="s">
        <v>98</v>
      </c>
      <c r="AC88" s="3" t="s">
        <v>99</v>
      </c>
      <c r="AD88" s="3" t="s">
        <v>100</v>
      </c>
      <c r="AE88" s="3" t="s">
        <v>101</v>
      </c>
      <c r="AF88" s="3" t="s">
        <v>102</v>
      </c>
      <c r="AG88" s="3" t="s">
        <v>103</v>
      </c>
      <c r="AH88" s="3" t="s">
        <v>104</v>
      </c>
      <c r="AI88" s="3" t="s">
        <v>105</v>
      </c>
      <c r="AJ88" s="3" t="s">
        <v>106</v>
      </c>
      <c r="AK88" s="4" t="s">
        <v>107</v>
      </c>
      <c r="AL88" s="3" t="s">
        <v>108</v>
      </c>
    </row>
    <row r="89" customFormat="false" ht="15" hidden="false" customHeight="true" outlineLevel="0" collapsed="false">
      <c r="A89" s="3" t="s">
        <v>405</v>
      </c>
      <c r="B89" s="3" t="s">
        <v>397</v>
      </c>
      <c r="C89" s="3" t="s">
        <v>160</v>
      </c>
      <c r="D89" s="3"/>
      <c r="E89" s="3" t="s">
        <v>83</v>
      </c>
      <c r="F89" s="3" t="s">
        <v>112</v>
      </c>
      <c r="G89" s="3" t="s">
        <v>113</v>
      </c>
      <c r="H89" s="3" t="s">
        <v>45</v>
      </c>
      <c r="I89" s="3" t="s">
        <v>46</v>
      </c>
      <c r="J89" s="3" t="s">
        <v>92</v>
      </c>
      <c r="K89" s="3" t="s">
        <v>48</v>
      </c>
      <c r="L89" s="3" t="s">
        <v>406</v>
      </c>
      <c r="M89" s="3" t="s">
        <v>89</v>
      </c>
      <c r="N89" s="3" t="s">
        <v>89</v>
      </c>
      <c r="O89" s="3" t="s">
        <v>137</v>
      </c>
      <c r="P89" s="3" t="s">
        <v>407</v>
      </c>
      <c r="Q89" s="3" t="s">
        <v>54</v>
      </c>
      <c r="R89" s="3" t="s">
        <v>55</v>
      </c>
      <c r="S89" s="3" t="s">
        <v>116</v>
      </c>
      <c r="T89" s="3" t="s">
        <v>117</v>
      </c>
      <c r="U89" s="3" t="s">
        <v>117</v>
      </c>
      <c r="V89" s="3" t="s">
        <v>117</v>
      </c>
      <c r="W89" s="3" t="s">
        <v>66</v>
      </c>
      <c r="X89" s="3" t="s">
        <v>66</v>
      </c>
      <c r="Y89" s="3" t="s">
        <v>118</v>
      </c>
      <c r="Z89" s="3" t="s">
        <v>119</v>
      </c>
      <c r="AA89" s="3" t="s">
        <v>120</v>
      </c>
      <c r="AB89" s="3" t="s">
        <v>121</v>
      </c>
      <c r="AC89" s="3" t="s">
        <v>122</v>
      </c>
      <c r="AD89" s="3" t="s">
        <v>123</v>
      </c>
      <c r="AE89" s="3" t="s">
        <v>72</v>
      </c>
      <c r="AF89" s="3" t="s">
        <v>124</v>
      </c>
      <c r="AG89" s="3" t="s">
        <v>125</v>
      </c>
      <c r="AH89" s="3" t="s">
        <v>126</v>
      </c>
      <c r="AI89" s="3" t="s">
        <v>127</v>
      </c>
      <c r="AJ89" s="3" t="s">
        <v>128</v>
      </c>
      <c r="AK89" s="4" t="s">
        <v>129</v>
      </c>
      <c r="AL89" s="3" t="s">
        <v>130</v>
      </c>
    </row>
    <row r="90" customFormat="false" ht="15" hidden="false" customHeight="true" outlineLevel="0" collapsed="false">
      <c r="A90" s="3" t="s">
        <v>408</v>
      </c>
      <c r="B90" s="3" t="s">
        <v>397</v>
      </c>
      <c r="C90" s="3" t="s">
        <v>40</v>
      </c>
      <c r="D90" s="3" t="s">
        <v>41</v>
      </c>
      <c r="E90" s="3" t="s">
        <v>111</v>
      </c>
      <c r="F90" s="3" t="s">
        <v>199</v>
      </c>
      <c r="G90" s="3" t="s">
        <v>200</v>
      </c>
      <c r="H90" s="3" t="s">
        <v>45</v>
      </c>
      <c r="I90" s="3" t="s">
        <v>46</v>
      </c>
      <c r="J90" s="3" t="s">
        <v>47</v>
      </c>
      <c r="K90" s="3" t="s">
        <v>135</v>
      </c>
      <c r="L90" s="3" t="s">
        <v>409</v>
      </c>
      <c r="M90" s="3" t="s">
        <v>146</v>
      </c>
      <c r="N90" s="3" t="s">
        <v>147</v>
      </c>
      <c r="O90" s="3" t="s">
        <v>52</v>
      </c>
      <c r="P90" s="3" t="s">
        <v>410</v>
      </c>
      <c r="Q90" s="3" t="s">
        <v>64</v>
      </c>
      <c r="R90" s="3" t="s">
        <v>55</v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customFormat="false" ht="15" hidden="false" customHeight="true" outlineLevel="0" collapsed="false">
      <c r="A91" s="3" t="s">
        <v>411</v>
      </c>
      <c r="B91" s="3" t="s">
        <v>397</v>
      </c>
      <c r="C91" s="3" t="s">
        <v>57</v>
      </c>
      <c r="D91" s="3" t="s">
        <v>58</v>
      </c>
      <c r="E91" s="3" t="s">
        <v>42</v>
      </c>
      <c r="F91" s="3" t="s">
        <v>133</v>
      </c>
      <c r="G91" s="3" t="s">
        <v>134</v>
      </c>
      <c r="H91" s="3" t="s">
        <v>45</v>
      </c>
      <c r="I91" s="3" t="s">
        <v>46</v>
      </c>
      <c r="J91" s="3" t="s">
        <v>59</v>
      </c>
      <c r="K91" s="3" t="s">
        <v>144</v>
      </c>
      <c r="L91" s="3" t="s">
        <v>412</v>
      </c>
      <c r="M91" s="3" t="s">
        <v>181</v>
      </c>
      <c r="N91" s="3" t="s">
        <v>181</v>
      </c>
      <c r="O91" s="3" t="s">
        <v>137</v>
      </c>
      <c r="P91" s="3" t="s">
        <v>413</v>
      </c>
      <c r="Q91" s="3" t="s">
        <v>92</v>
      </c>
      <c r="R91" s="3" t="s">
        <v>139</v>
      </c>
      <c r="S91" s="3" t="s">
        <v>65</v>
      </c>
      <c r="T91" s="3" t="s">
        <v>39</v>
      </c>
      <c r="U91" s="3" t="s">
        <v>39</v>
      </c>
      <c r="V91" s="3" t="s">
        <v>39</v>
      </c>
      <c r="W91" s="3" t="s">
        <v>66</v>
      </c>
      <c r="X91" s="3" t="s">
        <v>66</v>
      </c>
      <c r="Y91" s="3" t="s">
        <v>67</v>
      </c>
      <c r="Z91" s="3" t="s">
        <v>68</v>
      </c>
      <c r="AA91" s="3" t="s">
        <v>69</v>
      </c>
      <c r="AB91" s="3" t="s">
        <v>60</v>
      </c>
      <c r="AC91" s="3" t="s">
        <v>70</v>
      </c>
      <c r="AD91" s="3" t="s">
        <v>71</v>
      </c>
      <c r="AE91" s="3" t="s">
        <v>72</v>
      </c>
      <c r="AF91" s="3" t="s">
        <v>73</v>
      </c>
      <c r="AG91" s="3" t="s">
        <v>74</v>
      </c>
      <c r="AH91" s="3" t="s">
        <v>75</v>
      </c>
      <c r="AI91" s="3" t="s">
        <v>76</v>
      </c>
      <c r="AJ91" s="3" t="s">
        <v>77</v>
      </c>
      <c r="AK91" s="4" t="s">
        <v>78</v>
      </c>
      <c r="AL91" s="3" t="s">
        <v>79</v>
      </c>
    </row>
    <row r="92" customFormat="false" ht="15" hidden="false" customHeight="true" outlineLevel="0" collapsed="false">
      <c r="A92" s="3" t="s">
        <v>414</v>
      </c>
      <c r="B92" s="3" t="s">
        <v>397</v>
      </c>
      <c r="C92" s="3" t="s">
        <v>81</v>
      </c>
      <c r="D92" s="3" t="s">
        <v>82</v>
      </c>
      <c r="E92" s="3" t="s">
        <v>83</v>
      </c>
      <c r="F92" s="3" t="s">
        <v>142</v>
      </c>
      <c r="G92" s="3" t="s">
        <v>143</v>
      </c>
      <c r="H92" s="3" t="s">
        <v>45</v>
      </c>
      <c r="I92" s="3" t="s">
        <v>46</v>
      </c>
      <c r="J92" s="3" t="s">
        <v>86</v>
      </c>
      <c r="K92" s="3" t="s">
        <v>48</v>
      </c>
      <c r="L92" s="3" t="s">
        <v>415</v>
      </c>
      <c r="M92" s="3" t="s">
        <v>61</v>
      </c>
      <c r="N92" s="3" t="s">
        <v>61</v>
      </c>
      <c r="O92" s="3" t="s">
        <v>137</v>
      </c>
      <c r="P92" s="3" t="s">
        <v>416</v>
      </c>
      <c r="Q92" s="3" t="s">
        <v>54</v>
      </c>
      <c r="R92" s="3" t="s">
        <v>139</v>
      </c>
      <c r="S92" s="3" t="s">
        <v>93</v>
      </c>
      <c r="T92" s="3" t="s">
        <v>94</v>
      </c>
      <c r="U92" s="3" t="s">
        <v>94</v>
      </c>
      <c r="V92" s="3" t="s">
        <v>94</v>
      </c>
      <c r="W92" s="3" t="s">
        <v>94</v>
      </c>
      <c r="X92" s="3" t="s">
        <v>94</v>
      </c>
      <c r="Y92" s="3" t="s">
        <v>95</v>
      </c>
      <c r="Z92" s="3" t="s">
        <v>96</v>
      </c>
      <c r="AA92" s="3" t="s">
        <v>97</v>
      </c>
      <c r="AB92" s="3" t="s">
        <v>98</v>
      </c>
      <c r="AC92" s="3" t="s">
        <v>99</v>
      </c>
      <c r="AD92" s="3" t="s">
        <v>100</v>
      </c>
      <c r="AE92" s="3" t="s">
        <v>101</v>
      </c>
      <c r="AF92" s="3" t="s">
        <v>102</v>
      </c>
      <c r="AG92" s="3" t="s">
        <v>103</v>
      </c>
      <c r="AH92" s="3" t="s">
        <v>104</v>
      </c>
      <c r="AI92" s="3" t="s">
        <v>105</v>
      </c>
      <c r="AJ92" s="3" t="s">
        <v>106</v>
      </c>
      <c r="AK92" s="4" t="s">
        <v>107</v>
      </c>
      <c r="AL92" s="3" t="s">
        <v>108</v>
      </c>
    </row>
    <row r="93" customFormat="false" ht="15" hidden="false" customHeight="true" outlineLevel="0" collapsed="false">
      <c r="A93" s="3" t="s">
        <v>417</v>
      </c>
      <c r="B93" s="3" t="s">
        <v>397</v>
      </c>
      <c r="C93" s="3" t="s">
        <v>110</v>
      </c>
      <c r="D93" s="3"/>
      <c r="E93" s="3" t="s">
        <v>83</v>
      </c>
      <c r="F93" s="3" t="s">
        <v>142</v>
      </c>
      <c r="G93" s="3" t="s">
        <v>143</v>
      </c>
      <c r="H93" s="3" t="s">
        <v>45</v>
      </c>
      <c r="I93" s="3" t="s">
        <v>46</v>
      </c>
      <c r="J93" s="3" t="s">
        <v>92</v>
      </c>
      <c r="K93" s="3" t="s">
        <v>60</v>
      </c>
      <c r="L93" s="3" t="s">
        <v>415</v>
      </c>
      <c r="M93" s="3" t="s">
        <v>61</v>
      </c>
      <c r="N93" s="3" t="s">
        <v>62</v>
      </c>
      <c r="O93" s="3" t="s">
        <v>52</v>
      </c>
      <c r="P93" s="3" t="s">
        <v>418</v>
      </c>
      <c r="Q93" s="3" t="s">
        <v>64</v>
      </c>
      <c r="R93" s="3" t="s">
        <v>139</v>
      </c>
      <c r="S93" s="3" t="s">
        <v>116</v>
      </c>
      <c r="T93" s="3" t="s">
        <v>117</v>
      </c>
      <c r="U93" s="3" t="s">
        <v>117</v>
      </c>
      <c r="V93" s="3" t="s">
        <v>117</v>
      </c>
      <c r="W93" s="3" t="s">
        <v>66</v>
      </c>
      <c r="X93" s="3" t="s">
        <v>66</v>
      </c>
      <c r="Y93" s="3" t="s">
        <v>118</v>
      </c>
      <c r="Z93" s="3" t="s">
        <v>119</v>
      </c>
      <c r="AA93" s="3" t="s">
        <v>120</v>
      </c>
      <c r="AB93" s="3" t="s">
        <v>121</v>
      </c>
      <c r="AC93" s="3" t="s">
        <v>122</v>
      </c>
      <c r="AD93" s="3" t="s">
        <v>123</v>
      </c>
      <c r="AE93" s="3" t="s">
        <v>72</v>
      </c>
      <c r="AF93" s="3" t="s">
        <v>124</v>
      </c>
      <c r="AG93" s="3" t="s">
        <v>125</v>
      </c>
      <c r="AH93" s="3" t="s">
        <v>126</v>
      </c>
      <c r="AI93" s="3" t="s">
        <v>127</v>
      </c>
      <c r="AJ93" s="3" t="s">
        <v>128</v>
      </c>
      <c r="AK93" s="4" t="s">
        <v>129</v>
      </c>
      <c r="AL93" s="3" t="s">
        <v>130</v>
      </c>
    </row>
    <row r="94" customFormat="false" ht="15" hidden="false" customHeight="true" outlineLevel="0" collapsed="false">
      <c r="A94" s="3" t="s">
        <v>419</v>
      </c>
      <c r="B94" s="3" t="s">
        <v>397</v>
      </c>
      <c r="C94" s="3" t="s">
        <v>132</v>
      </c>
      <c r="D94" s="3" t="s">
        <v>41</v>
      </c>
      <c r="E94" s="3" t="s">
        <v>111</v>
      </c>
      <c r="F94" s="3" t="s">
        <v>152</v>
      </c>
      <c r="G94" s="3" t="s">
        <v>153</v>
      </c>
      <c r="H94" s="3" t="s">
        <v>45</v>
      </c>
      <c r="I94" s="3" t="s">
        <v>46</v>
      </c>
      <c r="J94" s="3" t="s">
        <v>47</v>
      </c>
      <c r="K94" s="3" t="s">
        <v>87</v>
      </c>
      <c r="L94" s="3" t="s">
        <v>420</v>
      </c>
      <c r="M94" s="3" t="s">
        <v>174</v>
      </c>
      <c r="N94" s="3" t="s">
        <v>174</v>
      </c>
      <c r="O94" s="3" t="s">
        <v>137</v>
      </c>
      <c r="P94" s="3" t="s">
        <v>421</v>
      </c>
      <c r="Q94" s="3" t="s">
        <v>92</v>
      </c>
      <c r="R94" s="3" t="s">
        <v>139</v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customFormat="false" ht="15" hidden="false" customHeight="true" outlineLevel="0" collapsed="false">
      <c r="A95" s="3" t="s">
        <v>422</v>
      </c>
      <c r="B95" s="3" t="s">
        <v>397</v>
      </c>
      <c r="C95" s="3" t="s">
        <v>141</v>
      </c>
      <c r="D95" s="3" t="s">
        <v>58</v>
      </c>
      <c r="E95" s="3" t="s">
        <v>83</v>
      </c>
      <c r="F95" s="3" t="s">
        <v>171</v>
      </c>
      <c r="G95" s="3" t="s">
        <v>172</v>
      </c>
      <c r="H95" s="3" t="s">
        <v>45</v>
      </c>
      <c r="I95" s="3" t="s">
        <v>46</v>
      </c>
      <c r="J95" s="3" t="s">
        <v>59</v>
      </c>
      <c r="K95" s="3" t="s">
        <v>114</v>
      </c>
      <c r="L95" s="3" t="s">
        <v>423</v>
      </c>
      <c r="M95" s="3" t="s">
        <v>89</v>
      </c>
      <c r="N95" s="3" t="s">
        <v>154</v>
      </c>
      <c r="O95" s="3" t="s">
        <v>168</v>
      </c>
      <c r="P95" s="3" t="s">
        <v>424</v>
      </c>
      <c r="Q95" s="3" t="s">
        <v>54</v>
      </c>
      <c r="R95" s="3" t="s">
        <v>176</v>
      </c>
      <c r="S95" s="3" t="s">
        <v>65</v>
      </c>
      <c r="T95" s="3" t="s">
        <v>39</v>
      </c>
      <c r="U95" s="3" t="s">
        <v>39</v>
      </c>
      <c r="V95" s="3" t="s">
        <v>39</v>
      </c>
      <c r="W95" s="3" t="s">
        <v>66</v>
      </c>
      <c r="X95" s="3" t="s">
        <v>66</v>
      </c>
      <c r="Y95" s="3" t="s">
        <v>67</v>
      </c>
      <c r="Z95" s="3" t="s">
        <v>68</v>
      </c>
      <c r="AA95" s="3" t="s">
        <v>69</v>
      </c>
      <c r="AB95" s="3" t="s">
        <v>60</v>
      </c>
      <c r="AC95" s="3" t="s">
        <v>70</v>
      </c>
      <c r="AD95" s="3" t="s">
        <v>71</v>
      </c>
      <c r="AE95" s="3" t="s">
        <v>72</v>
      </c>
      <c r="AF95" s="3" t="s">
        <v>73</v>
      </c>
      <c r="AG95" s="3" t="s">
        <v>74</v>
      </c>
      <c r="AH95" s="3" t="s">
        <v>75</v>
      </c>
      <c r="AI95" s="3" t="s">
        <v>76</v>
      </c>
      <c r="AJ95" s="3" t="s">
        <v>77</v>
      </c>
      <c r="AK95" s="4" t="s">
        <v>78</v>
      </c>
      <c r="AL95" s="3" t="s">
        <v>79</v>
      </c>
    </row>
    <row r="96" customFormat="false" ht="15" hidden="false" customHeight="true" outlineLevel="0" collapsed="false">
      <c r="A96" s="3" t="s">
        <v>425</v>
      </c>
      <c r="B96" s="3" t="s">
        <v>397</v>
      </c>
      <c r="C96" s="3" t="s">
        <v>150</v>
      </c>
      <c r="D96" s="3" t="s">
        <v>82</v>
      </c>
      <c r="E96" s="3" t="s">
        <v>111</v>
      </c>
      <c r="F96" s="3" t="s">
        <v>219</v>
      </c>
      <c r="G96" s="3" t="s">
        <v>220</v>
      </c>
      <c r="H96" s="3" t="s">
        <v>45</v>
      </c>
      <c r="I96" s="3" t="s">
        <v>46</v>
      </c>
      <c r="J96" s="3" t="s">
        <v>86</v>
      </c>
      <c r="K96" s="3" t="s">
        <v>154</v>
      </c>
      <c r="L96" s="3" t="s">
        <v>426</v>
      </c>
      <c r="M96" s="3" t="s">
        <v>196</v>
      </c>
      <c r="N96" s="3" t="s">
        <v>87</v>
      </c>
      <c r="O96" s="3" t="s">
        <v>168</v>
      </c>
      <c r="P96" s="3" t="s">
        <v>427</v>
      </c>
      <c r="Q96" s="3" t="s">
        <v>64</v>
      </c>
      <c r="R96" s="3" t="s">
        <v>176</v>
      </c>
      <c r="S96" s="3" t="s">
        <v>93</v>
      </c>
      <c r="T96" s="3" t="s">
        <v>94</v>
      </c>
      <c r="U96" s="3" t="s">
        <v>94</v>
      </c>
      <c r="V96" s="3" t="s">
        <v>94</v>
      </c>
      <c r="W96" s="3" t="s">
        <v>94</v>
      </c>
      <c r="X96" s="3" t="s">
        <v>94</v>
      </c>
      <c r="Y96" s="3" t="s">
        <v>95</v>
      </c>
      <c r="Z96" s="3" t="s">
        <v>96</v>
      </c>
      <c r="AA96" s="3" t="s">
        <v>97</v>
      </c>
      <c r="AB96" s="3" t="s">
        <v>98</v>
      </c>
      <c r="AC96" s="3" t="s">
        <v>99</v>
      </c>
      <c r="AD96" s="3" t="s">
        <v>100</v>
      </c>
      <c r="AE96" s="3" t="s">
        <v>101</v>
      </c>
      <c r="AF96" s="3" t="s">
        <v>102</v>
      </c>
      <c r="AG96" s="3" t="s">
        <v>103</v>
      </c>
      <c r="AH96" s="3" t="s">
        <v>104</v>
      </c>
      <c r="AI96" s="3" t="s">
        <v>105</v>
      </c>
      <c r="AJ96" s="3" t="s">
        <v>106</v>
      </c>
      <c r="AK96" s="4" t="s">
        <v>107</v>
      </c>
      <c r="AL96" s="3" t="s">
        <v>108</v>
      </c>
    </row>
    <row r="97" customFormat="false" ht="15" hidden="false" customHeight="true" outlineLevel="0" collapsed="false">
      <c r="A97" s="3" t="s">
        <v>428</v>
      </c>
      <c r="B97" s="3" t="s">
        <v>397</v>
      </c>
      <c r="C97" s="3" t="s">
        <v>160</v>
      </c>
      <c r="D97" s="3"/>
      <c r="E97" s="3" t="s">
        <v>42</v>
      </c>
      <c r="F97" s="3" t="s">
        <v>184</v>
      </c>
      <c r="G97" s="3" t="s">
        <v>185</v>
      </c>
      <c r="H97" s="3" t="s">
        <v>186</v>
      </c>
      <c r="I97" s="3" t="s">
        <v>46</v>
      </c>
      <c r="J97" s="3" t="s">
        <v>92</v>
      </c>
      <c r="K97" s="3" t="s">
        <v>48</v>
      </c>
      <c r="L97" s="3" t="s">
        <v>429</v>
      </c>
      <c r="M97" s="3" t="s">
        <v>295</v>
      </c>
      <c r="N97" s="3" t="s">
        <v>203</v>
      </c>
      <c r="O97" s="3" t="s">
        <v>168</v>
      </c>
      <c r="P97" s="3" t="s">
        <v>430</v>
      </c>
      <c r="Q97" s="3" t="s">
        <v>92</v>
      </c>
      <c r="R97" s="3" t="s">
        <v>176</v>
      </c>
      <c r="S97" s="3" t="s">
        <v>116</v>
      </c>
      <c r="T97" s="3" t="s">
        <v>117</v>
      </c>
      <c r="U97" s="3" t="s">
        <v>117</v>
      </c>
      <c r="V97" s="3" t="s">
        <v>117</v>
      </c>
      <c r="W97" s="3" t="s">
        <v>66</v>
      </c>
      <c r="X97" s="3" t="s">
        <v>66</v>
      </c>
      <c r="Y97" s="3" t="s">
        <v>118</v>
      </c>
      <c r="Z97" s="3" t="s">
        <v>119</v>
      </c>
      <c r="AA97" s="3" t="s">
        <v>120</v>
      </c>
      <c r="AB97" s="3" t="s">
        <v>121</v>
      </c>
      <c r="AC97" s="3" t="s">
        <v>122</v>
      </c>
      <c r="AD97" s="3" t="s">
        <v>123</v>
      </c>
      <c r="AE97" s="3" t="s">
        <v>72</v>
      </c>
      <c r="AF97" s="3" t="s">
        <v>124</v>
      </c>
      <c r="AG97" s="3" t="s">
        <v>125</v>
      </c>
      <c r="AH97" s="3" t="s">
        <v>126</v>
      </c>
      <c r="AI97" s="3" t="s">
        <v>127</v>
      </c>
      <c r="AJ97" s="3" t="s">
        <v>128</v>
      </c>
      <c r="AK97" s="4" t="s">
        <v>129</v>
      </c>
      <c r="AL97" s="3" t="s">
        <v>130</v>
      </c>
    </row>
    <row r="98" customFormat="false" ht="15" hidden="false" customHeight="true" outlineLevel="0" collapsed="false">
      <c r="A98" s="3" t="s">
        <v>431</v>
      </c>
      <c r="B98" s="3" t="s">
        <v>39</v>
      </c>
      <c r="C98" s="3" t="s">
        <v>40</v>
      </c>
      <c r="D98" s="3" t="s">
        <v>41</v>
      </c>
      <c r="E98" s="3" t="s">
        <v>432</v>
      </c>
      <c r="F98" s="3" t="s">
        <v>68</v>
      </c>
      <c r="G98" s="3" t="s">
        <v>433</v>
      </c>
      <c r="H98" s="3" t="s">
        <v>186</v>
      </c>
      <c r="I98" s="3" t="s">
        <v>46</v>
      </c>
      <c r="J98" s="3" t="s">
        <v>47</v>
      </c>
      <c r="K98" s="3" t="s">
        <v>48</v>
      </c>
      <c r="L98" s="3" t="s">
        <v>434</v>
      </c>
      <c r="M98" s="3" t="s">
        <v>188</v>
      </c>
      <c r="N98" s="3" t="s">
        <v>188</v>
      </c>
      <c r="O98" s="3" t="s">
        <v>137</v>
      </c>
      <c r="P98" s="3" t="s">
        <v>189</v>
      </c>
      <c r="Q98" s="3" t="s">
        <v>54</v>
      </c>
      <c r="R98" s="3" t="s">
        <v>435</v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customFormat="false" ht="15" hidden="false" customHeight="true" outlineLevel="0" collapsed="false">
      <c r="A99" s="3" t="s">
        <v>436</v>
      </c>
      <c r="B99" s="3" t="s">
        <v>94</v>
      </c>
      <c r="C99" s="3" t="s">
        <v>57</v>
      </c>
      <c r="D99" s="3" t="s">
        <v>58</v>
      </c>
      <c r="E99" s="3" t="s">
        <v>432</v>
      </c>
      <c r="F99" s="3" t="s">
        <v>68</v>
      </c>
      <c r="G99" s="3" t="s">
        <v>68</v>
      </c>
      <c r="H99" s="3" t="s">
        <v>77</v>
      </c>
      <c r="I99" s="3" t="s">
        <v>46</v>
      </c>
      <c r="J99" s="3" t="s">
        <v>59</v>
      </c>
      <c r="K99" s="3" t="s">
        <v>60</v>
      </c>
      <c r="L99" s="3" t="s">
        <v>437</v>
      </c>
      <c r="M99" s="3" t="s">
        <v>438</v>
      </c>
      <c r="N99" s="3" t="s">
        <v>438</v>
      </c>
      <c r="O99" s="3" t="s">
        <v>137</v>
      </c>
      <c r="P99" s="3" t="s">
        <v>439</v>
      </c>
      <c r="Q99" s="3" t="s">
        <v>64</v>
      </c>
      <c r="R99" s="3" t="s">
        <v>435</v>
      </c>
      <c r="S99" s="3" t="s">
        <v>65</v>
      </c>
      <c r="T99" s="3" t="s">
        <v>39</v>
      </c>
      <c r="U99" s="3" t="s">
        <v>39</v>
      </c>
      <c r="V99" s="3" t="s">
        <v>39</v>
      </c>
      <c r="W99" s="3" t="s">
        <v>66</v>
      </c>
      <c r="X99" s="3" t="s">
        <v>66</v>
      </c>
      <c r="Y99" s="3" t="s">
        <v>67</v>
      </c>
      <c r="Z99" s="3" t="s">
        <v>68</v>
      </c>
      <c r="AA99" s="3" t="s">
        <v>69</v>
      </c>
      <c r="AB99" s="3" t="s">
        <v>60</v>
      </c>
      <c r="AC99" s="3" t="s">
        <v>70</v>
      </c>
      <c r="AD99" s="3" t="s">
        <v>71</v>
      </c>
      <c r="AE99" s="3" t="s">
        <v>72</v>
      </c>
      <c r="AF99" s="3" t="s">
        <v>73</v>
      </c>
      <c r="AG99" s="3" t="s">
        <v>74</v>
      </c>
      <c r="AH99" s="3" t="s">
        <v>75</v>
      </c>
      <c r="AI99" s="3" t="s">
        <v>76</v>
      </c>
      <c r="AJ99" s="3" t="s">
        <v>77</v>
      </c>
      <c r="AK99" s="4" t="s">
        <v>78</v>
      </c>
      <c r="AL99" s="3" t="s">
        <v>79</v>
      </c>
    </row>
    <row r="100" customFormat="false" ht="15" hidden="false" customHeight="true" outlineLevel="0" collapsed="false">
      <c r="A100" s="3" t="s">
        <v>440</v>
      </c>
      <c r="B100" s="3" t="s">
        <v>117</v>
      </c>
      <c r="C100" s="3" t="s">
        <v>81</v>
      </c>
      <c r="D100" s="3" t="s">
        <v>82</v>
      </c>
      <c r="E100" s="3" t="s">
        <v>432</v>
      </c>
      <c r="F100" s="3" t="s">
        <v>119</v>
      </c>
      <c r="G100" s="3" t="s">
        <v>433</v>
      </c>
      <c r="H100" s="3" t="s">
        <v>106</v>
      </c>
      <c r="I100" s="3" t="s">
        <v>46</v>
      </c>
      <c r="J100" s="3" t="s">
        <v>86</v>
      </c>
      <c r="K100" s="3" t="s">
        <v>87</v>
      </c>
      <c r="L100" s="3" t="s">
        <v>441</v>
      </c>
      <c r="M100" s="3" t="s">
        <v>442</v>
      </c>
      <c r="N100" s="3" t="s">
        <v>443</v>
      </c>
      <c r="O100" s="3" t="s">
        <v>52</v>
      </c>
      <c r="P100" s="3" t="s">
        <v>444</v>
      </c>
      <c r="Q100" s="3" t="s">
        <v>92</v>
      </c>
      <c r="R100" s="3" t="s">
        <v>435</v>
      </c>
      <c r="S100" s="3" t="s">
        <v>93</v>
      </c>
      <c r="T100" s="3" t="s">
        <v>94</v>
      </c>
      <c r="U100" s="3" t="s">
        <v>94</v>
      </c>
      <c r="V100" s="3" t="s">
        <v>94</v>
      </c>
      <c r="W100" s="3" t="s">
        <v>94</v>
      </c>
      <c r="X100" s="3" t="s">
        <v>94</v>
      </c>
      <c r="Y100" s="3" t="s">
        <v>95</v>
      </c>
      <c r="Z100" s="3" t="s">
        <v>96</v>
      </c>
      <c r="AA100" s="3" t="s">
        <v>97</v>
      </c>
      <c r="AB100" s="3" t="s">
        <v>98</v>
      </c>
      <c r="AC100" s="3" t="s">
        <v>99</v>
      </c>
      <c r="AD100" s="3" t="s">
        <v>100</v>
      </c>
      <c r="AE100" s="3" t="s">
        <v>101</v>
      </c>
      <c r="AF100" s="3" t="s">
        <v>102</v>
      </c>
      <c r="AG100" s="3" t="s">
        <v>103</v>
      </c>
      <c r="AH100" s="3" t="s">
        <v>104</v>
      </c>
      <c r="AI100" s="3" t="s">
        <v>105</v>
      </c>
      <c r="AJ100" s="3" t="s">
        <v>106</v>
      </c>
      <c r="AK100" s="4" t="s">
        <v>107</v>
      </c>
      <c r="AL100" s="3" t="s">
        <v>108</v>
      </c>
    </row>
    <row r="101" customFormat="false" ht="15" hidden="false" customHeight="true" outlineLevel="0" collapsed="false">
      <c r="A101" s="3" t="s">
        <v>445</v>
      </c>
      <c r="B101" s="3" t="s">
        <v>262</v>
      </c>
      <c r="C101" s="3" t="s">
        <v>110</v>
      </c>
      <c r="D101" s="3"/>
      <c r="E101" s="3" t="s">
        <v>432</v>
      </c>
      <c r="F101" s="3" t="s">
        <v>68</v>
      </c>
      <c r="G101" s="3" t="s">
        <v>96</v>
      </c>
      <c r="H101" s="3" t="s">
        <v>106</v>
      </c>
      <c r="I101" s="3" t="s">
        <v>46</v>
      </c>
      <c r="J101" s="3" t="s">
        <v>92</v>
      </c>
      <c r="K101" s="3" t="s">
        <v>114</v>
      </c>
      <c r="L101" s="3" t="s">
        <v>446</v>
      </c>
      <c r="M101" s="3" t="s">
        <v>156</v>
      </c>
      <c r="N101" s="3" t="s">
        <v>156</v>
      </c>
      <c r="O101" s="3" t="s">
        <v>137</v>
      </c>
      <c r="P101" s="3" t="s">
        <v>447</v>
      </c>
      <c r="Q101" s="3" t="s">
        <v>54</v>
      </c>
      <c r="R101" s="3" t="s">
        <v>435</v>
      </c>
      <c r="S101" s="3" t="s">
        <v>116</v>
      </c>
      <c r="T101" s="3" t="s">
        <v>117</v>
      </c>
      <c r="U101" s="3" t="s">
        <v>117</v>
      </c>
      <c r="V101" s="3" t="s">
        <v>117</v>
      </c>
      <c r="W101" s="3" t="s">
        <v>66</v>
      </c>
      <c r="X101" s="3" t="s">
        <v>66</v>
      </c>
      <c r="Y101" s="3" t="s">
        <v>118</v>
      </c>
      <c r="Z101" s="3" t="s">
        <v>119</v>
      </c>
      <c r="AA101" s="3" t="s">
        <v>120</v>
      </c>
      <c r="AB101" s="3" t="s">
        <v>121</v>
      </c>
      <c r="AC101" s="3" t="s">
        <v>122</v>
      </c>
      <c r="AD101" s="3" t="s">
        <v>123</v>
      </c>
      <c r="AE101" s="3" t="s">
        <v>72</v>
      </c>
      <c r="AF101" s="3" t="s">
        <v>124</v>
      </c>
      <c r="AG101" s="3" t="s">
        <v>125</v>
      </c>
      <c r="AH101" s="3" t="s">
        <v>126</v>
      </c>
      <c r="AI101" s="3" t="s">
        <v>127</v>
      </c>
      <c r="AJ101" s="3" t="s">
        <v>128</v>
      </c>
      <c r="AK101" s="4" t="s">
        <v>129</v>
      </c>
      <c r="AL101" s="3" t="s">
        <v>130</v>
      </c>
    </row>
    <row r="102" customFormat="false" ht="15" hidden="false" customHeight="true" outlineLevel="0" collapsed="false">
      <c r="A102" s="3" t="s">
        <v>448</v>
      </c>
      <c r="B102" s="3" t="s">
        <v>367</v>
      </c>
      <c r="C102" s="3" t="s">
        <v>132</v>
      </c>
      <c r="D102" s="3" t="s">
        <v>41</v>
      </c>
      <c r="E102" s="3" t="s">
        <v>432</v>
      </c>
      <c r="F102" s="3" t="s">
        <v>68</v>
      </c>
      <c r="G102" s="3" t="s">
        <v>96</v>
      </c>
      <c r="H102" s="3" t="s">
        <v>106</v>
      </c>
      <c r="I102" s="3" t="s">
        <v>46</v>
      </c>
      <c r="J102" s="3" t="s">
        <v>47</v>
      </c>
      <c r="K102" s="3" t="s">
        <v>135</v>
      </c>
      <c r="L102" s="3" t="s">
        <v>449</v>
      </c>
      <c r="M102" s="3" t="s">
        <v>450</v>
      </c>
      <c r="N102" s="3" t="s">
        <v>203</v>
      </c>
      <c r="O102" s="3" t="s">
        <v>168</v>
      </c>
      <c r="P102" s="3" t="s">
        <v>380</v>
      </c>
      <c r="Q102" s="3" t="s">
        <v>64</v>
      </c>
      <c r="R102" s="3" t="s">
        <v>435</v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customFormat="false" ht="15" hidden="false" customHeight="true" outlineLevel="0" collapsed="false">
      <c r="A103" s="3" t="s">
        <v>451</v>
      </c>
      <c r="B103" s="3" t="s">
        <v>298</v>
      </c>
      <c r="C103" s="3" t="s">
        <v>141</v>
      </c>
      <c r="D103" s="3" t="s">
        <v>58</v>
      </c>
      <c r="E103" s="3" t="s">
        <v>432</v>
      </c>
      <c r="F103" s="3" t="s">
        <v>452</v>
      </c>
      <c r="G103" s="3" t="s">
        <v>453</v>
      </c>
      <c r="H103" s="3" t="s">
        <v>45</v>
      </c>
      <c r="I103" s="3" t="s">
        <v>46</v>
      </c>
      <c r="J103" s="3" t="s">
        <v>59</v>
      </c>
      <c r="K103" s="3" t="s">
        <v>144</v>
      </c>
      <c r="L103" s="3" t="s">
        <v>454</v>
      </c>
      <c r="M103" s="3" t="s">
        <v>89</v>
      </c>
      <c r="N103" s="3" t="s">
        <v>89</v>
      </c>
      <c r="O103" s="3" t="s">
        <v>137</v>
      </c>
      <c r="P103" s="3" t="s">
        <v>310</v>
      </c>
      <c r="Q103" s="3" t="s">
        <v>92</v>
      </c>
      <c r="R103" s="3" t="s">
        <v>435</v>
      </c>
      <c r="S103" s="3" t="s">
        <v>65</v>
      </c>
      <c r="T103" s="3" t="s">
        <v>39</v>
      </c>
      <c r="U103" s="3" t="s">
        <v>39</v>
      </c>
      <c r="V103" s="3" t="s">
        <v>39</v>
      </c>
      <c r="W103" s="3" t="s">
        <v>66</v>
      </c>
      <c r="X103" s="3" t="s">
        <v>66</v>
      </c>
      <c r="Y103" s="3" t="s">
        <v>67</v>
      </c>
      <c r="Z103" s="3" t="s">
        <v>68</v>
      </c>
      <c r="AA103" s="3" t="s">
        <v>69</v>
      </c>
      <c r="AB103" s="3" t="s">
        <v>60</v>
      </c>
      <c r="AC103" s="3" t="s">
        <v>70</v>
      </c>
      <c r="AD103" s="3" t="s">
        <v>71</v>
      </c>
      <c r="AE103" s="3" t="s">
        <v>72</v>
      </c>
      <c r="AF103" s="3" t="s">
        <v>73</v>
      </c>
      <c r="AG103" s="3" t="s">
        <v>74</v>
      </c>
      <c r="AH103" s="3" t="s">
        <v>75</v>
      </c>
      <c r="AI103" s="3" t="s">
        <v>76</v>
      </c>
      <c r="AJ103" s="3" t="s">
        <v>77</v>
      </c>
      <c r="AK103" s="4" t="s">
        <v>78</v>
      </c>
      <c r="AL103" s="3" t="s">
        <v>79</v>
      </c>
    </row>
    <row r="104" customFormat="false" ht="15" hidden="false" customHeight="true" outlineLevel="0" collapsed="false">
      <c r="A104" s="3" t="s">
        <v>455</v>
      </c>
      <c r="B104" s="3" t="s">
        <v>397</v>
      </c>
      <c r="C104" s="3" t="s">
        <v>150</v>
      </c>
      <c r="D104" s="3" t="s">
        <v>82</v>
      </c>
      <c r="E104" s="3" t="s">
        <v>432</v>
      </c>
      <c r="F104" s="3" t="s">
        <v>452</v>
      </c>
      <c r="G104" s="3" t="s">
        <v>453</v>
      </c>
      <c r="H104" s="3" t="s">
        <v>45</v>
      </c>
      <c r="I104" s="3" t="s">
        <v>46</v>
      </c>
      <c r="J104" s="3" t="s">
        <v>86</v>
      </c>
      <c r="K104" s="3" t="s">
        <v>154</v>
      </c>
      <c r="L104" s="3" t="s">
        <v>456</v>
      </c>
      <c r="M104" s="3" t="s">
        <v>89</v>
      </c>
      <c r="N104" s="3" t="s">
        <v>90</v>
      </c>
      <c r="O104" s="3" t="s">
        <v>52</v>
      </c>
      <c r="P104" s="3" t="s">
        <v>457</v>
      </c>
      <c r="Q104" s="3" t="s">
        <v>54</v>
      </c>
      <c r="R104" s="3" t="s">
        <v>435</v>
      </c>
      <c r="S104" s="3" t="s">
        <v>93</v>
      </c>
      <c r="T104" s="3" t="s">
        <v>94</v>
      </c>
      <c r="U104" s="3" t="s">
        <v>94</v>
      </c>
      <c r="V104" s="3" t="s">
        <v>94</v>
      </c>
      <c r="W104" s="3" t="s">
        <v>94</v>
      </c>
      <c r="X104" s="3" t="s">
        <v>94</v>
      </c>
      <c r="Y104" s="3" t="s">
        <v>95</v>
      </c>
      <c r="Z104" s="3" t="s">
        <v>96</v>
      </c>
      <c r="AA104" s="3" t="s">
        <v>97</v>
      </c>
      <c r="AB104" s="3" t="s">
        <v>98</v>
      </c>
      <c r="AC104" s="3" t="s">
        <v>99</v>
      </c>
      <c r="AD104" s="3" t="s">
        <v>100</v>
      </c>
      <c r="AE104" s="3" t="s">
        <v>101</v>
      </c>
      <c r="AF104" s="3" t="s">
        <v>102</v>
      </c>
      <c r="AG104" s="3" t="s">
        <v>103</v>
      </c>
      <c r="AH104" s="3" t="s">
        <v>104</v>
      </c>
      <c r="AI104" s="3" t="s">
        <v>105</v>
      </c>
      <c r="AJ104" s="3" t="s">
        <v>106</v>
      </c>
      <c r="AK104" s="4" t="s">
        <v>107</v>
      </c>
      <c r="AL104" s="3" t="s">
        <v>108</v>
      </c>
    </row>
    <row r="105" customFormat="false" ht="15" hidden="false" customHeight="true" outlineLevel="0" collapsed="false">
      <c r="A105" s="3" t="s">
        <v>458</v>
      </c>
      <c r="B105" s="3" t="s">
        <v>459</v>
      </c>
      <c r="C105" s="3" t="s">
        <v>160</v>
      </c>
      <c r="D105" s="3"/>
      <c r="E105" s="3" t="s">
        <v>432</v>
      </c>
      <c r="F105" s="3" t="s">
        <v>460</v>
      </c>
      <c r="G105" s="3" t="s">
        <v>453</v>
      </c>
      <c r="H105" s="3" t="s">
        <v>186</v>
      </c>
      <c r="I105" s="3" t="s">
        <v>46</v>
      </c>
      <c r="J105" s="3" t="s">
        <v>92</v>
      </c>
      <c r="K105" s="3" t="s">
        <v>48</v>
      </c>
      <c r="L105" s="3" t="s">
        <v>461</v>
      </c>
      <c r="M105" s="3" t="s">
        <v>462</v>
      </c>
      <c r="N105" s="3" t="s">
        <v>463</v>
      </c>
      <c r="O105" s="3" t="s">
        <v>52</v>
      </c>
      <c r="P105" s="3" t="s">
        <v>464</v>
      </c>
      <c r="Q105" s="3" t="s">
        <v>64</v>
      </c>
      <c r="R105" s="3" t="s">
        <v>435</v>
      </c>
      <c r="S105" s="3" t="s">
        <v>116</v>
      </c>
      <c r="T105" s="3" t="s">
        <v>117</v>
      </c>
      <c r="U105" s="3" t="s">
        <v>117</v>
      </c>
      <c r="V105" s="3" t="s">
        <v>117</v>
      </c>
      <c r="W105" s="3" t="s">
        <v>66</v>
      </c>
      <c r="X105" s="3" t="s">
        <v>66</v>
      </c>
      <c r="Y105" s="3" t="s">
        <v>118</v>
      </c>
      <c r="Z105" s="3" t="s">
        <v>119</v>
      </c>
      <c r="AA105" s="3" t="s">
        <v>120</v>
      </c>
      <c r="AB105" s="3" t="s">
        <v>121</v>
      </c>
      <c r="AC105" s="3" t="s">
        <v>122</v>
      </c>
      <c r="AD105" s="3" t="s">
        <v>123</v>
      </c>
      <c r="AE105" s="3" t="s">
        <v>72</v>
      </c>
      <c r="AF105" s="3" t="s">
        <v>124</v>
      </c>
      <c r="AG105" s="3" t="s">
        <v>125</v>
      </c>
      <c r="AH105" s="3" t="s">
        <v>126</v>
      </c>
      <c r="AI105" s="3" t="s">
        <v>127</v>
      </c>
      <c r="AJ105" s="3" t="s">
        <v>128</v>
      </c>
      <c r="AK105" s="4" t="s">
        <v>129</v>
      </c>
      <c r="AL105" s="3" t="s">
        <v>130</v>
      </c>
    </row>
    <row r="106" customFormat="false" ht="15" hidden="false" customHeight="true" outlineLevel="0" collapsed="false">
      <c r="A106" s="3" t="s">
        <v>465</v>
      </c>
      <c r="B106" s="3" t="s">
        <v>466</v>
      </c>
      <c r="C106" s="3" t="s">
        <v>40</v>
      </c>
      <c r="D106" s="3" t="s">
        <v>41</v>
      </c>
      <c r="E106" s="3" t="s">
        <v>432</v>
      </c>
      <c r="F106" s="3" t="s">
        <v>460</v>
      </c>
      <c r="G106" s="3" t="s">
        <v>453</v>
      </c>
      <c r="H106" s="3" t="s">
        <v>186</v>
      </c>
      <c r="I106" s="3" t="s">
        <v>46</v>
      </c>
      <c r="J106" s="3" t="s">
        <v>47</v>
      </c>
      <c r="K106" s="3" t="s">
        <v>87</v>
      </c>
      <c r="L106" s="3" t="s">
        <v>467</v>
      </c>
      <c r="M106" s="3" t="s">
        <v>462</v>
      </c>
      <c r="N106" s="3" t="s">
        <v>468</v>
      </c>
      <c r="O106" s="3" t="s">
        <v>168</v>
      </c>
      <c r="P106" s="3" t="s">
        <v>469</v>
      </c>
      <c r="Q106" s="3" t="s">
        <v>92</v>
      </c>
      <c r="R106" s="3" t="s">
        <v>435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customFormat="false" ht="15" hidden="false" customHeight="true" outlineLevel="0" collapsed="false">
      <c r="A107" s="3" t="s">
        <v>470</v>
      </c>
      <c r="B107" s="3"/>
      <c r="C107" s="3" t="s">
        <v>57</v>
      </c>
      <c r="D107" s="3" t="s">
        <v>58</v>
      </c>
      <c r="E107" s="3" t="s">
        <v>432</v>
      </c>
      <c r="F107" s="3" t="s">
        <v>43</v>
      </c>
      <c r="G107" s="3" t="s">
        <v>44</v>
      </c>
      <c r="H107" s="3" t="s">
        <v>45</v>
      </c>
      <c r="I107" s="3" t="s">
        <v>46</v>
      </c>
      <c r="J107" s="3" t="s">
        <v>59</v>
      </c>
      <c r="K107" s="3" t="s">
        <v>114</v>
      </c>
      <c r="L107" s="3" t="s">
        <v>471</v>
      </c>
      <c r="M107" s="3" t="s">
        <v>472</v>
      </c>
      <c r="N107" s="3" t="s">
        <v>443</v>
      </c>
      <c r="O107" s="3" t="s">
        <v>52</v>
      </c>
      <c r="P107" s="3"/>
      <c r="Q107" s="3" t="s">
        <v>54</v>
      </c>
      <c r="R107" s="3" t="s">
        <v>435</v>
      </c>
      <c r="S107" s="3" t="s">
        <v>65</v>
      </c>
      <c r="T107" s="3" t="s">
        <v>39</v>
      </c>
      <c r="U107" s="3" t="s">
        <v>39</v>
      </c>
      <c r="V107" s="3" t="s">
        <v>39</v>
      </c>
      <c r="W107" s="3" t="s">
        <v>66</v>
      </c>
      <c r="X107" s="3" t="s">
        <v>66</v>
      </c>
      <c r="Y107" s="3" t="s">
        <v>67</v>
      </c>
      <c r="Z107" s="3" t="s">
        <v>68</v>
      </c>
      <c r="AA107" s="3" t="s">
        <v>69</v>
      </c>
      <c r="AB107" s="3" t="s">
        <v>60</v>
      </c>
      <c r="AC107" s="3" t="s">
        <v>70</v>
      </c>
      <c r="AD107" s="3" t="s">
        <v>71</v>
      </c>
      <c r="AE107" s="3" t="s">
        <v>72</v>
      </c>
      <c r="AF107" s="3" t="s">
        <v>73</v>
      </c>
      <c r="AG107" s="3" t="s">
        <v>74</v>
      </c>
      <c r="AH107" s="3" t="s">
        <v>75</v>
      </c>
      <c r="AI107" s="3" t="s">
        <v>76</v>
      </c>
      <c r="AJ107" s="3" t="s">
        <v>77</v>
      </c>
      <c r="AK107" s="4" t="s">
        <v>78</v>
      </c>
      <c r="AL107" s="3" t="s">
        <v>79</v>
      </c>
    </row>
    <row r="108" customFormat="false" ht="15" hidden="false" customHeight="true" outlineLevel="0" collapsed="false">
      <c r="A108" s="3" t="s">
        <v>473</v>
      </c>
      <c r="B108" s="3"/>
      <c r="C108" s="3" t="s">
        <v>81</v>
      </c>
      <c r="D108" s="3" t="s">
        <v>82</v>
      </c>
      <c r="E108" s="3" t="s">
        <v>432</v>
      </c>
      <c r="F108" s="3" t="s">
        <v>133</v>
      </c>
      <c r="G108" s="3" t="s">
        <v>134</v>
      </c>
      <c r="H108" s="3" t="s">
        <v>45</v>
      </c>
      <c r="I108" s="3" t="s">
        <v>46</v>
      </c>
      <c r="J108" s="3" t="s">
        <v>86</v>
      </c>
      <c r="K108" s="3" t="s">
        <v>135</v>
      </c>
      <c r="L108" s="3" t="s">
        <v>474</v>
      </c>
      <c r="M108" s="3" t="s">
        <v>156</v>
      </c>
      <c r="N108" s="3"/>
      <c r="O108" s="3" t="s">
        <v>137</v>
      </c>
      <c r="P108" s="3"/>
      <c r="Q108" s="3" t="s">
        <v>64</v>
      </c>
      <c r="R108" s="3" t="s">
        <v>435</v>
      </c>
      <c r="S108" s="3" t="s">
        <v>93</v>
      </c>
      <c r="T108" s="3" t="s">
        <v>94</v>
      </c>
      <c r="U108" s="3" t="s">
        <v>94</v>
      </c>
      <c r="V108" s="3" t="s">
        <v>94</v>
      </c>
      <c r="W108" s="3" t="s">
        <v>94</v>
      </c>
      <c r="X108" s="3" t="s">
        <v>94</v>
      </c>
      <c r="Y108" s="3" t="s">
        <v>95</v>
      </c>
      <c r="Z108" s="3" t="s">
        <v>96</v>
      </c>
      <c r="AA108" s="3" t="s">
        <v>97</v>
      </c>
      <c r="AB108" s="3" t="s">
        <v>98</v>
      </c>
      <c r="AC108" s="3" t="s">
        <v>99</v>
      </c>
      <c r="AD108" s="3" t="s">
        <v>100</v>
      </c>
      <c r="AE108" s="3" t="s">
        <v>101</v>
      </c>
      <c r="AF108" s="3" t="s">
        <v>102</v>
      </c>
      <c r="AG108" s="3" t="s">
        <v>103</v>
      </c>
      <c r="AH108" s="3" t="s">
        <v>104</v>
      </c>
      <c r="AI108" s="3" t="s">
        <v>105</v>
      </c>
      <c r="AJ108" s="3" t="s">
        <v>106</v>
      </c>
      <c r="AK108" s="4" t="s">
        <v>107</v>
      </c>
      <c r="AL108" s="3" t="s">
        <v>108</v>
      </c>
    </row>
    <row r="109" customFormat="false" ht="15" hidden="false" customHeight="true" outlineLevel="0" collapsed="false">
      <c r="A109" s="3" t="s">
        <v>475</v>
      </c>
      <c r="B109" s="3" t="s">
        <v>39</v>
      </c>
      <c r="C109" s="3" t="s">
        <v>110</v>
      </c>
      <c r="D109" s="3"/>
      <c r="E109" s="3" t="s">
        <v>432</v>
      </c>
      <c r="F109" s="3"/>
      <c r="G109" s="3"/>
      <c r="H109" s="3"/>
      <c r="I109" s="3"/>
      <c r="J109" s="3" t="s">
        <v>92</v>
      </c>
      <c r="K109" s="3" t="s">
        <v>144</v>
      </c>
      <c r="L109" s="3" t="s">
        <v>476</v>
      </c>
      <c r="M109" s="3" t="s">
        <v>477</v>
      </c>
      <c r="N109" s="3" t="s">
        <v>477</v>
      </c>
      <c r="O109" s="3" t="s">
        <v>137</v>
      </c>
      <c r="P109" s="3" t="s">
        <v>478</v>
      </c>
      <c r="Q109" s="3" t="s">
        <v>92</v>
      </c>
      <c r="R109" s="3" t="s">
        <v>435</v>
      </c>
      <c r="S109" s="3" t="s">
        <v>116</v>
      </c>
      <c r="T109" s="3" t="s">
        <v>117</v>
      </c>
      <c r="U109" s="3" t="s">
        <v>117</v>
      </c>
      <c r="V109" s="3" t="s">
        <v>117</v>
      </c>
      <c r="W109" s="3" t="s">
        <v>66</v>
      </c>
      <c r="X109" s="3" t="s">
        <v>66</v>
      </c>
      <c r="Y109" s="3" t="s">
        <v>118</v>
      </c>
      <c r="Z109" s="3" t="s">
        <v>119</v>
      </c>
      <c r="AA109" s="3" t="s">
        <v>120</v>
      </c>
      <c r="AB109" s="3" t="s">
        <v>121</v>
      </c>
      <c r="AC109" s="3" t="s">
        <v>122</v>
      </c>
      <c r="AD109" s="3" t="s">
        <v>123</v>
      </c>
      <c r="AE109" s="3" t="s">
        <v>72</v>
      </c>
      <c r="AF109" s="3" t="s">
        <v>124</v>
      </c>
      <c r="AG109" s="3" t="s">
        <v>125</v>
      </c>
      <c r="AH109" s="3" t="s">
        <v>126</v>
      </c>
      <c r="AI109" s="3" t="s">
        <v>127</v>
      </c>
      <c r="AJ109" s="3" t="s">
        <v>128</v>
      </c>
      <c r="AK109" s="4" t="s">
        <v>129</v>
      </c>
      <c r="AL109" s="3" t="s">
        <v>130</v>
      </c>
    </row>
    <row r="110" customFormat="false" ht="15" hidden="false" customHeight="true" outlineLevel="0" collapsed="false">
      <c r="A110" s="3" t="s">
        <v>479</v>
      </c>
      <c r="B110" s="3" t="s">
        <v>333</v>
      </c>
      <c r="C110" s="3" t="s">
        <v>132</v>
      </c>
      <c r="D110" s="3" t="s">
        <v>41</v>
      </c>
      <c r="E110" s="3" t="s">
        <v>432</v>
      </c>
      <c r="F110" s="3" t="s">
        <v>96</v>
      </c>
      <c r="G110" s="3" t="s">
        <v>96</v>
      </c>
      <c r="H110" s="3" t="s">
        <v>77</v>
      </c>
      <c r="I110" s="3" t="s">
        <v>46</v>
      </c>
      <c r="J110" s="3" t="s">
        <v>47</v>
      </c>
      <c r="K110" s="3" t="s">
        <v>48</v>
      </c>
      <c r="L110" s="3" t="s">
        <v>480</v>
      </c>
      <c r="M110" s="3" t="s">
        <v>90</v>
      </c>
      <c r="N110" s="3" t="s">
        <v>90</v>
      </c>
      <c r="O110" s="3" t="s">
        <v>52</v>
      </c>
      <c r="P110" s="3" t="s">
        <v>351</v>
      </c>
      <c r="Q110" s="3" t="s">
        <v>54</v>
      </c>
      <c r="R110" s="3" t="s">
        <v>435</v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customFormat="false" ht="15" hidden="false" customHeight="true" outlineLevel="0" collapsed="false">
      <c r="A111" s="3" t="s">
        <v>481</v>
      </c>
      <c r="B111" s="3" t="s">
        <v>397</v>
      </c>
      <c r="C111" s="3" t="s">
        <v>141</v>
      </c>
      <c r="D111" s="3" t="s">
        <v>58</v>
      </c>
      <c r="E111" s="3" t="s">
        <v>432</v>
      </c>
      <c r="F111" s="3" t="s">
        <v>68</v>
      </c>
      <c r="G111" s="3" t="s">
        <v>68</v>
      </c>
      <c r="H111" s="3" t="s">
        <v>77</v>
      </c>
      <c r="I111" s="3" t="s">
        <v>46</v>
      </c>
      <c r="J111" s="3" t="s">
        <v>59</v>
      </c>
      <c r="K111" s="3" t="s">
        <v>60</v>
      </c>
      <c r="L111" s="3" t="s">
        <v>482</v>
      </c>
      <c r="M111" s="3" t="s">
        <v>483</v>
      </c>
      <c r="N111" s="3" t="s">
        <v>484</v>
      </c>
      <c r="O111" s="3" t="s">
        <v>168</v>
      </c>
      <c r="P111" s="3" t="s">
        <v>485</v>
      </c>
      <c r="Q111" s="3" t="s">
        <v>64</v>
      </c>
      <c r="R111" s="3" t="s">
        <v>435</v>
      </c>
      <c r="S111" s="3" t="s">
        <v>65</v>
      </c>
      <c r="T111" s="3" t="s">
        <v>39</v>
      </c>
      <c r="U111" s="3" t="s">
        <v>39</v>
      </c>
      <c r="V111" s="3" t="s">
        <v>39</v>
      </c>
      <c r="W111" s="3" t="s">
        <v>66</v>
      </c>
      <c r="X111" s="3" t="s">
        <v>66</v>
      </c>
      <c r="Y111" s="3" t="s">
        <v>67</v>
      </c>
      <c r="Z111" s="3" t="s">
        <v>68</v>
      </c>
      <c r="AA111" s="3" t="s">
        <v>69</v>
      </c>
      <c r="AB111" s="3" t="s">
        <v>60</v>
      </c>
      <c r="AC111" s="3" t="s">
        <v>70</v>
      </c>
      <c r="AD111" s="3" t="s">
        <v>71</v>
      </c>
      <c r="AE111" s="3" t="s">
        <v>72</v>
      </c>
      <c r="AF111" s="3" t="s">
        <v>73</v>
      </c>
      <c r="AG111" s="3" t="s">
        <v>74</v>
      </c>
      <c r="AH111" s="3" t="s">
        <v>75</v>
      </c>
      <c r="AI111" s="3" t="s">
        <v>76</v>
      </c>
      <c r="AJ111" s="3" t="s">
        <v>77</v>
      </c>
      <c r="AK111" s="4" t="s">
        <v>78</v>
      </c>
      <c r="AL111" s="3" t="s">
        <v>79</v>
      </c>
    </row>
    <row r="112" customFormat="false" ht="15" hidden="false" customHeight="true" outlineLevel="0" collapsed="false">
      <c r="A112" s="3" t="s">
        <v>486</v>
      </c>
      <c r="B112" s="3" t="s">
        <v>487</v>
      </c>
      <c r="C112" s="3" t="s">
        <v>150</v>
      </c>
      <c r="D112" s="3" t="s">
        <v>82</v>
      </c>
      <c r="E112" s="3" t="s">
        <v>432</v>
      </c>
      <c r="F112" s="3" t="s">
        <v>452</v>
      </c>
      <c r="G112" s="3" t="s">
        <v>452</v>
      </c>
      <c r="H112" s="3" t="s">
        <v>77</v>
      </c>
      <c r="I112" s="3" t="s">
        <v>46</v>
      </c>
      <c r="J112" s="3" t="s">
        <v>86</v>
      </c>
      <c r="K112" s="3" t="s">
        <v>154</v>
      </c>
      <c r="L112" s="3" t="s">
        <v>488</v>
      </c>
      <c r="M112" s="3" t="s">
        <v>90</v>
      </c>
      <c r="N112" s="3" t="s">
        <v>489</v>
      </c>
      <c r="O112" s="3" t="s">
        <v>52</v>
      </c>
      <c r="P112" s="3" t="s">
        <v>490</v>
      </c>
      <c r="Q112" s="3" t="s">
        <v>92</v>
      </c>
      <c r="R112" s="3" t="s">
        <v>435</v>
      </c>
      <c r="S112" s="3" t="s">
        <v>93</v>
      </c>
      <c r="T112" s="3" t="s">
        <v>94</v>
      </c>
      <c r="U112" s="3" t="s">
        <v>94</v>
      </c>
      <c r="V112" s="3" t="s">
        <v>94</v>
      </c>
      <c r="W112" s="3" t="s">
        <v>94</v>
      </c>
      <c r="X112" s="3" t="s">
        <v>94</v>
      </c>
      <c r="Y112" s="3" t="s">
        <v>95</v>
      </c>
      <c r="Z112" s="3" t="s">
        <v>96</v>
      </c>
      <c r="AA112" s="3" t="s">
        <v>97</v>
      </c>
      <c r="AB112" s="3" t="s">
        <v>98</v>
      </c>
      <c r="AC112" s="3" t="s">
        <v>99</v>
      </c>
      <c r="AD112" s="3" t="s">
        <v>100</v>
      </c>
      <c r="AE112" s="3" t="s">
        <v>101</v>
      </c>
      <c r="AF112" s="3" t="s">
        <v>102</v>
      </c>
      <c r="AG112" s="3" t="s">
        <v>103</v>
      </c>
      <c r="AH112" s="3" t="s">
        <v>104</v>
      </c>
      <c r="AI112" s="3" t="s">
        <v>105</v>
      </c>
      <c r="AJ112" s="3" t="s">
        <v>106</v>
      </c>
      <c r="AK112" s="4" t="s">
        <v>107</v>
      </c>
      <c r="AL112" s="3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110"/>
  </cols>
  <sheetData>
    <row r="1" customFormat="false" ht="16.15" hidden="false" customHeight="false" outlineLevel="0" collapsed="false">
      <c r="A1" s="5" t="s">
        <v>491</v>
      </c>
    </row>
    <row r="2" customFormat="false" ht="15" hidden="false" customHeight="false" outlineLevel="0" collapsed="false">
      <c r="A2" s="6" t="s">
        <v>492</v>
      </c>
    </row>
    <row r="4" customFormat="false" ht="15" hidden="false" customHeight="false" outlineLevel="0" collapsed="false">
      <c r="A4" s="7" t="s">
        <v>493</v>
      </c>
      <c r="B4" s="7" t="s">
        <v>494</v>
      </c>
      <c r="C4" s="7" t="s">
        <v>495</v>
      </c>
      <c r="D4" s="7" t="s">
        <v>496</v>
      </c>
      <c r="E4" s="7" t="s">
        <v>497</v>
      </c>
      <c r="F4" s="7" t="s">
        <v>498</v>
      </c>
      <c r="G4" s="7" t="s">
        <v>499</v>
      </c>
      <c r="H4" s="7" t="s">
        <v>500</v>
      </c>
    </row>
    <row r="5" customFormat="false" ht="15" hidden="false" customHeight="false" outlineLevel="0" collapsed="false">
      <c r="A5" s="8" t="s">
        <v>501</v>
      </c>
      <c r="B5" s="8" t="s">
        <v>502</v>
      </c>
      <c r="C5" s="9" t="n">
        <v>2.222</v>
      </c>
      <c r="D5" s="10" t="n">
        <f aca="false">C5*'Assignment Calc'!$B$1</f>
        <v>19.998</v>
      </c>
      <c r="E5" s="10" t="n">
        <f aca="false">SUMPRODUCT(('Monthly Expected'!$A$2:$A$100=B5)*('Monthly Expected'!$B$2:$B$100=A5)*'Monthly Expected'!$F$2:$F$100)</f>
        <v>20</v>
      </c>
      <c r="F5" s="10" t="n">
        <f aca="false">ROUND(D5-E5,1)</f>
        <v>-0</v>
      </c>
      <c r="G5" s="8" t="str">
        <f aca="false">IF(ABS(F5)&lt;0.2,"Match",IF(ISNUMBER(SEARCH("FINDING",H5)),"Explained - finding","Explained - other data"))</f>
        <v>Match</v>
      </c>
      <c r="H5" s="8"/>
    </row>
    <row r="6" customFormat="false" ht="15" hidden="false" customHeight="false" outlineLevel="0" collapsed="false">
      <c r="A6" s="8" t="s">
        <v>501</v>
      </c>
      <c r="B6" s="8" t="s">
        <v>397</v>
      </c>
      <c r="C6" s="9" t="n">
        <v>15.6</v>
      </c>
      <c r="D6" s="10" t="n">
        <f aca="false">C6*'Assignment Calc'!$B$1</f>
        <v>140.4</v>
      </c>
      <c r="E6" s="10" t="n">
        <f aca="false">SUMPRODUCT(('Monthly Expected'!$A$2:$A$100=B6)*('Monthly Expected'!$B$2:$B$100=A6)*'Monthly Expected'!$F$2:$F$100)</f>
        <v>140.4</v>
      </c>
      <c r="F6" s="10" t="n">
        <f aca="false">ROUND(D6-E6,1)</f>
        <v>0</v>
      </c>
      <c r="G6" s="8" t="str">
        <f aca="false">IF(ABS(F6)&lt;0.2,"Match",IF(ISNUMBER(SEARCH("FINDING",H6)),"Explained - finding","Explained - other data"))</f>
        <v>Match</v>
      </c>
      <c r="H6" s="8"/>
    </row>
    <row r="7" customFormat="false" ht="15" hidden="false" customHeight="false" outlineLevel="0" collapsed="false">
      <c r="A7" s="8" t="s">
        <v>501</v>
      </c>
      <c r="B7" s="8" t="s">
        <v>367</v>
      </c>
      <c r="C7" s="9" t="n">
        <v>15.333</v>
      </c>
      <c r="D7" s="10" t="n">
        <f aca="false">C7*'Assignment Calc'!$B$1</f>
        <v>137.997</v>
      </c>
      <c r="E7" s="10" t="n">
        <f aca="false">SUMPRODUCT(('Monthly Expected'!$A$2:$A$100=B7)*('Monthly Expected'!$B$2:$B$100=A7)*'Monthly Expected'!$F$2:$F$100)</f>
        <v>147</v>
      </c>
      <c r="F7" s="10" t="n">
        <f aca="false">ROUND(D7-E7,1)</f>
        <v>-9</v>
      </c>
      <c r="G7" s="8" t="str">
        <f aca="false">IF(ABS(F7)&lt;0.2,"Match",IF(ISNUMBER(SEARCH("FINDING",H7)),"Explained - finding","Explained - other data"))</f>
        <v>Explained - finding</v>
      </c>
      <c r="H7" s="8" t="s">
        <v>503</v>
      </c>
    </row>
    <row r="8" customFormat="false" ht="15" hidden="false" customHeight="false" outlineLevel="0" collapsed="false">
      <c r="A8" s="8" t="s">
        <v>501</v>
      </c>
      <c r="B8" s="8" t="s">
        <v>333</v>
      </c>
      <c r="C8" s="9" t="n">
        <v>12.25</v>
      </c>
      <c r="D8" s="10" t="n">
        <f aca="false">C8*'Assignment Calc'!$B$1</f>
        <v>110.25</v>
      </c>
      <c r="E8" s="10" t="n">
        <f aca="false">SUMPRODUCT(('Monthly Expected'!$A$2:$A$100=B8)*('Monthly Expected'!$B$2:$B$100=A8)*'Monthly Expected'!$F$2:$F$100)</f>
        <v>132.75</v>
      </c>
      <c r="F8" s="10" t="n">
        <f aca="false">ROUND(D8-E8,1)</f>
        <v>-22.5</v>
      </c>
      <c r="G8" s="8" t="str">
        <f aca="false">IF(ABS(F8)&lt;0.2,"Match",IF(ISNUMBER(SEARCH("FINDING",H8)),"Explained - finding","Explained - other data"))</f>
        <v>Explained - finding</v>
      </c>
      <c r="H8" s="8" t="s">
        <v>504</v>
      </c>
    </row>
    <row r="9" customFormat="false" ht="15" hidden="false" customHeight="false" outlineLevel="0" collapsed="false">
      <c r="A9" s="8" t="s">
        <v>501</v>
      </c>
      <c r="B9" s="8" t="s">
        <v>117</v>
      </c>
      <c r="C9" s="9" t="n">
        <v>38.667</v>
      </c>
      <c r="D9" s="10" t="n">
        <f aca="false">C9*'Assignment Calc'!$B$1</f>
        <v>348.003</v>
      </c>
      <c r="E9" s="10" t="n">
        <f aca="false">SUMPRODUCT(('Monthly Expected'!$A$2:$A$100=B9)*('Monthly Expected'!$B$2:$B$100=A9)*'Monthly Expected'!$F$2:$F$100)</f>
        <v>219</v>
      </c>
      <c r="F9" s="10" t="n">
        <f aca="false">ROUND(D9-E9,1)</f>
        <v>129</v>
      </c>
      <c r="G9" s="8" t="str">
        <f aca="false">IF(ABS(F9)&lt;0.2,"Match",IF(ISNUMBER(SEARCH("FINDING",H9)),"Explained - finding","Explained - other data"))</f>
        <v>Explained - finding</v>
      </c>
      <c r="H9" s="8" t="s">
        <v>505</v>
      </c>
    </row>
    <row r="10" customFormat="false" ht="15" hidden="false" customHeight="false" outlineLevel="0" collapsed="false">
      <c r="A10" s="8" t="s">
        <v>501</v>
      </c>
      <c r="B10" s="8" t="s">
        <v>94</v>
      </c>
      <c r="C10" s="9" t="n">
        <v>56.583</v>
      </c>
      <c r="D10" s="10" t="n">
        <f aca="false">C10*'Assignment Calc'!$B$1</f>
        <v>509.247</v>
      </c>
      <c r="E10" s="10" t="n">
        <f aca="false">SUMPRODUCT(('Monthly Expected'!$A$2:$A$100=B10)*('Monthly Expected'!$B$2:$B$100=A10)*'Monthly Expected'!$F$2:$F$100)</f>
        <v>333.75</v>
      </c>
      <c r="F10" s="10" t="n">
        <f aca="false">ROUND(D10-E10,1)</f>
        <v>175.5</v>
      </c>
      <c r="G10" s="8" t="str">
        <f aca="false">IF(ABS(F10)&lt;0.2,"Match",IF(ISNUMBER(SEARCH("FINDING",H10)),"Explained - finding","Explained - other data"))</f>
        <v>Explained - finding</v>
      </c>
      <c r="H10" s="8" t="s">
        <v>506</v>
      </c>
    </row>
    <row r="11" customFormat="false" ht="15" hidden="false" customHeight="false" outlineLevel="0" collapsed="false">
      <c r="A11" s="8" t="s">
        <v>501</v>
      </c>
      <c r="B11" s="8" t="s">
        <v>262</v>
      </c>
      <c r="C11" s="9" t="n">
        <v>15</v>
      </c>
      <c r="D11" s="10" t="n">
        <f aca="false">C11*'Assignment Calc'!$B$1</f>
        <v>135</v>
      </c>
      <c r="E11" s="10" t="n">
        <f aca="false">SUMPRODUCT(('Monthly Expected'!$A$2:$A$100=B11)*('Monthly Expected'!$B$2:$B$100=A11)*'Monthly Expected'!$F$2:$F$100)</f>
        <v>135</v>
      </c>
      <c r="F11" s="10" t="n">
        <f aca="false">ROUND(D11-E11,1)</f>
        <v>0</v>
      </c>
      <c r="G11" s="8" t="str">
        <f aca="false">IF(ABS(F11)&lt;0.2,"Match",IF(ISNUMBER(SEARCH("FINDING",H11)),"Explained - finding","Explained - other data"))</f>
        <v>Match</v>
      </c>
      <c r="H11" s="8"/>
    </row>
    <row r="12" customFormat="false" ht="15" hidden="false" customHeight="false" outlineLevel="0" collapsed="false">
      <c r="A12" s="8" t="s">
        <v>501</v>
      </c>
      <c r="B12" s="8" t="s">
        <v>298</v>
      </c>
      <c r="C12" s="9" t="n">
        <v>13.333</v>
      </c>
      <c r="D12" s="10" t="n">
        <f aca="false">C12*'Assignment Calc'!$B$1</f>
        <v>119.997</v>
      </c>
      <c r="E12" s="10" t="n">
        <f aca="false">SUMPRODUCT(('Monthly Expected'!$A$2:$A$100=B12)*('Monthly Expected'!$B$2:$B$100=A12)*'Monthly Expected'!$F$2:$F$100)</f>
        <v>120</v>
      </c>
      <c r="F12" s="10" t="n">
        <f aca="false">ROUND(D12-E12,1)</f>
        <v>-0</v>
      </c>
      <c r="G12" s="8" t="str">
        <f aca="false">IF(ABS(F12)&lt;0.2,"Match",IF(ISNUMBER(SEARCH("FINDING",H12)),"Explained - finding","Explained - other data"))</f>
        <v>Match</v>
      </c>
      <c r="H12" s="8"/>
    </row>
    <row r="13" customFormat="false" ht="15" hidden="false" customHeight="false" outlineLevel="0" collapsed="false">
      <c r="A13" s="8" t="s">
        <v>501</v>
      </c>
      <c r="B13" s="8" t="s">
        <v>39</v>
      </c>
      <c r="C13" s="9" t="n">
        <v>131.333</v>
      </c>
      <c r="D13" s="10" t="n">
        <f aca="false">C13*'Assignment Calc'!$B$1</f>
        <v>1181.997</v>
      </c>
      <c r="E13" s="10" t="n">
        <f aca="false">SUMPRODUCT(('Monthly Expected'!$A$2:$A$100=B13)*('Monthly Expected'!$B$2:$B$100=A13)*'Monthly Expected'!$F$2:$F$100)</f>
        <v>633</v>
      </c>
      <c r="F13" s="10" t="n">
        <f aca="false">ROUND(D13-E13,1)</f>
        <v>549</v>
      </c>
      <c r="G13" s="8" t="str">
        <f aca="false">IF(ABS(F13)&lt;0.2,"Match",IF(ISNUMBER(SEARCH("FINDING",H13)),"Explained - finding","Explained - other data"))</f>
        <v>Explained - other data</v>
      </c>
      <c r="H13" s="8" t="s">
        <v>507</v>
      </c>
    </row>
    <row r="14" customFormat="false" ht="15" hidden="false" customHeight="false" outlineLevel="0" collapsed="false">
      <c r="A14" s="8" t="s">
        <v>508</v>
      </c>
      <c r="B14" s="8" t="s">
        <v>502</v>
      </c>
      <c r="C14" s="9" t="n">
        <v>0</v>
      </c>
      <c r="D14" s="10" t="n">
        <f aca="false">C14*'Assignment Calc'!$B$1</f>
        <v>0</v>
      </c>
      <c r="E14" s="10" t="n">
        <f aca="false">SUMPRODUCT(('Monthly Expected'!$A$2:$A$100=B14)*('Monthly Expected'!$B$2:$B$100=A14)*'Monthly Expected'!$F$2:$F$100)</f>
        <v>0</v>
      </c>
      <c r="F14" s="10" t="n">
        <f aca="false">ROUND(D14-E14,1)</f>
        <v>0</v>
      </c>
      <c r="G14" s="8" t="str">
        <f aca="false">IF(ABS(F14)&lt;0.2,"Match",IF(ISNUMBER(SEARCH("FINDING",H14)),"Explained - finding","Explained - other data"))</f>
        <v>Match</v>
      </c>
      <c r="H14" s="8"/>
    </row>
    <row r="15" customFormat="false" ht="15" hidden="false" customHeight="false" outlineLevel="0" collapsed="false">
      <c r="A15" s="8" t="s">
        <v>508</v>
      </c>
      <c r="B15" s="8" t="s">
        <v>397</v>
      </c>
      <c r="C15" s="9" t="n">
        <v>14.333</v>
      </c>
      <c r="D15" s="10" t="n">
        <f aca="false">C15*'Assignment Calc'!$B$1</f>
        <v>128.997</v>
      </c>
      <c r="E15" s="10" t="n">
        <f aca="false">SUMPRODUCT(('Monthly Expected'!$A$2:$A$100=B15)*('Monthly Expected'!$B$2:$B$100=A15)*'Monthly Expected'!$F$2:$F$100)</f>
        <v>129</v>
      </c>
      <c r="F15" s="10" t="n">
        <f aca="false">ROUND(D15-E15,1)</f>
        <v>-0</v>
      </c>
      <c r="G15" s="8" t="str">
        <f aca="false">IF(ABS(F15)&lt;0.2,"Match",IF(ISNUMBER(SEARCH("FINDING",H15)),"Explained - finding","Explained - other data"))</f>
        <v>Match</v>
      </c>
      <c r="H15" s="8"/>
    </row>
    <row r="16" customFormat="false" ht="15" hidden="false" customHeight="false" outlineLevel="0" collapsed="false">
      <c r="A16" s="8" t="s">
        <v>508</v>
      </c>
      <c r="B16" s="8" t="s">
        <v>367</v>
      </c>
      <c r="C16" s="9" t="n">
        <v>11.25</v>
      </c>
      <c r="D16" s="10" t="n">
        <f aca="false">C16*'Assignment Calc'!$B$1</f>
        <v>101.25</v>
      </c>
      <c r="E16" s="10" t="n">
        <f aca="false">SUMPRODUCT(('Monthly Expected'!$A$2:$A$100=B16)*('Monthly Expected'!$B$2:$B$100=A16)*'Monthly Expected'!$F$2:$F$100)</f>
        <v>123.75</v>
      </c>
      <c r="F16" s="10" t="n">
        <f aca="false">ROUND(D16-E16,1)</f>
        <v>-22.5</v>
      </c>
      <c r="G16" s="8" t="str">
        <f aca="false">IF(ABS(F16)&lt;0.2,"Match",IF(ISNUMBER(SEARCH("FINDING",H16)),"Explained - finding","Explained - other data"))</f>
        <v>Explained - finding</v>
      </c>
      <c r="H16" s="8" t="s">
        <v>509</v>
      </c>
    </row>
    <row r="17" customFormat="false" ht="15" hidden="false" customHeight="false" outlineLevel="0" collapsed="false">
      <c r="A17" s="8" t="s">
        <v>508</v>
      </c>
      <c r="B17" s="8" t="s">
        <v>333</v>
      </c>
      <c r="C17" s="9" t="n">
        <v>13.333</v>
      </c>
      <c r="D17" s="10" t="n">
        <f aca="false">C17*'Assignment Calc'!$B$1</f>
        <v>119.997</v>
      </c>
      <c r="E17" s="10" t="n">
        <f aca="false">SUMPRODUCT(('Monthly Expected'!$A$2:$A$100=B17)*('Monthly Expected'!$B$2:$B$100=A17)*'Monthly Expected'!$F$2:$F$100)</f>
        <v>120</v>
      </c>
      <c r="F17" s="10" t="n">
        <f aca="false">ROUND(D17-E17,1)</f>
        <v>-0</v>
      </c>
      <c r="G17" s="8" t="str">
        <f aca="false">IF(ABS(F17)&lt;0.2,"Match",IF(ISNUMBER(SEARCH("FINDING",H17)),"Explained - finding","Explained - other data"))</f>
        <v>Match</v>
      </c>
      <c r="H17" s="8"/>
    </row>
    <row r="18" customFormat="false" ht="15" hidden="false" customHeight="false" outlineLevel="0" collapsed="false">
      <c r="A18" s="8" t="s">
        <v>508</v>
      </c>
      <c r="B18" s="8" t="s">
        <v>117</v>
      </c>
      <c r="C18" s="9" t="n">
        <v>11.75</v>
      </c>
      <c r="D18" s="10" t="n">
        <f aca="false">C18*'Assignment Calc'!$B$1</f>
        <v>105.75</v>
      </c>
      <c r="E18" s="10" t="n">
        <f aca="false">SUMPRODUCT(('Monthly Expected'!$A$2:$A$100=B18)*('Monthly Expected'!$B$2:$B$100=A18)*'Monthly Expected'!$F$2:$F$100)</f>
        <v>128.25</v>
      </c>
      <c r="F18" s="10" t="n">
        <f aca="false">ROUND(D18-E18,1)</f>
        <v>-22.5</v>
      </c>
      <c r="G18" s="8" t="str">
        <f aca="false">IF(ABS(F18)&lt;0.2,"Match",IF(ISNUMBER(SEARCH("FINDING",H18)),"Explained - finding","Explained - other data"))</f>
        <v>Explained - finding</v>
      </c>
      <c r="H18" s="8" t="s">
        <v>509</v>
      </c>
    </row>
    <row r="19" customFormat="false" ht="15" hidden="false" customHeight="false" outlineLevel="0" collapsed="false">
      <c r="A19" s="8" t="s">
        <v>508</v>
      </c>
      <c r="B19" s="8" t="s">
        <v>94</v>
      </c>
      <c r="C19" s="9" t="n">
        <v>13.333</v>
      </c>
      <c r="D19" s="10" t="n">
        <f aca="false">C19*'Assignment Calc'!$B$1</f>
        <v>119.997</v>
      </c>
      <c r="E19" s="10" t="n">
        <f aca="false">SUMPRODUCT(('Monthly Expected'!$A$2:$A$100=B19)*('Monthly Expected'!$B$2:$B$100=A19)*'Monthly Expected'!$F$2:$F$100)</f>
        <v>120</v>
      </c>
      <c r="F19" s="10" t="n">
        <f aca="false">ROUND(D19-E19,1)</f>
        <v>-0</v>
      </c>
      <c r="G19" s="8" t="str">
        <f aca="false">IF(ABS(F19)&lt;0.2,"Match",IF(ISNUMBER(SEARCH("FINDING",H19)),"Explained - finding","Explained - other data"))</f>
        <v>Match</v>
      </c>
      <c r="H19" s="8"/>
    </row>
    <row r="20" customFormat="false" ht="15" hidden="false" customHeight="false" outlineLevel="0" collapsed="false">
      <c r="A20" s="8" t="s">
        <v>508</v>
      </c>
      <c r="B20" s="8" t="s">
        <v>262</v>
      </c>
      <c r="C20" s="9" t="n">
        <v>23.833</v>
      </c>
      <c r="D20" s="10" t="n">
        <f aca="false">C20*'Assignment Calc'!$B$1</f>
        <v>214.497</v>
      </c>
      <c r="E20" s="10" t="n">
        <f aca="false">SUMPRODUCT(('Monthly Expected'!$A$2:$A$100=B20)*('Monthly Expected'!$B$2:$B$100=A20)*'Monthly Expected'!$F$2:$F$100)</f>
        <v>169.5</v>
      </c>
      <c r="F20" s="10" t="n">
        <f aca="false">ROUND(D20-E20,1)</f>
        <v>45</v>
      </c>
      <c r="G20" s="8" t="str">
        <f aca="false">IF(ABS(F20)&lt;0.2,"Match",IF(ISNUMBER(SEARCH("FINDING",H20)),"Explained - finding","Explained - other data"))</f>
        <v>Explained - other data</v>
      </c>
      <c r="H20" s="8" t="s">
        <v>510</v>
      </c>
    </row>
    <row r="21" customFormat="false" ht="15" hidden="false" customHeight="false" outlineLevel="0" collapsed="false">
      <c r="A21" s="8" t="s">
        <v>508</v>
      </c>
      <c r="B21" s="8" t="s">
        <v>298</v>
      </c>
      <c r="C21" s="9" t="n">
        <v>16</v>
      </c>
      <c r="D21" s="10" t="n">
        <f aca="false">C21*'Assignment Calc'!$B$1</f>
        <v>144</v>
      </c>
      <c r="E21" s="10" t="n">
        <f aca="false">SUMPRODUCT(('Monthly Expected'!$A$2:$A$100=B21)*('Monthly Expected'!$B$2:$B$100=A21)*'Monthly Expected'!$F$2:$F$100)</f>
        <v>144</v>
      </c>
      <c r="F21" s="10" t="n">
        <f aca="false">ROUND(D21-E21,1)</f>
        <v>0</v>
      </c>
      <c r="G21" s="8" t="str">
        <f aca="false">IF(ABS(F21)&lt;0.2,"Match",IF(ISNUMBER(SEARCH("FINDING",H21)),"Explained - finding","Explained - other data"))</f>
        <v>Match</v>
      </c>
      <c r="H21" s="8"/>
    </row>
    <row r="22" customFormat="false" ht="15" hidden="false" customHeight="false" outlineLevel="0" collapsed="false">
      <c r="A22" s="8" t="s">
        <v>508</v>
      </c>
      <c r="B22" s="8" t="s">
        <v>39</v>
      </c>
      <c r="C22" s="9" t="n">
        <v>20</v>
      </c>
      <c r="D22" s="10" t="n">
        <f aca="false">C22*'Assignment Calc'!$B$1</f>
        <v>180</v>
      </c>
      <c r="E22" s="10" t="n">
        <f aca="false">SUMPRODUCT(('Monthly Expected'!$A$2:$A$100=B22)*('Monthly Expected'!$B$2:$B$100=A22)*'Monthly Expected'!$F$2:$F$100)</f>
        <v>157.5</v>
      </c>
      <c r="F22" s="10" t="n">
        <f aca="false">ROUND(D22-E22,1)</f>
        <v>22.5</v>
      </c>
      <c r="G22" s="8" t="str">
        <f aca="false">IF(ABS(F22)&lt;0.2,"Match",IF(ISNUMBER(SEARCH("FINDING",H22)),"Explained - finding","Explained - other data"))</f>
        <v>Explained - other data</v>
      </c>
      <c r="H22" s="8" t="s">
        <v>511</v>
      </c>
    </row>
    <row r="23" customFormat="false" ht="15" hidden="false" customHeight="false" outlineLevel="0" collapsed="false">
      <c r="A23" s="8" t="s">
        <v>512</v>
      </c>
      <c r="B23" s="8" t="s">
        <v>502</v>
      </c>
      <c r="C23" s="9" t="n">
        <v>0</v>
      </c>
      <c r="D23" s="10" t="n">
        <f aca="false">C23*'Assignment Calc'!$B$1</f>
        <v>0</v>
      </c>
      <c r="E23" s="10" t="n">
        <f aca="false">SUMPRODUCT(('Monthly Expected'!$A$2:$A$100=B23)*('Monthly Expected'!$B$2:$B$100=A23)*'Monthly Expected'!$F$2:$F$100)</f>
        <v>0</v>
      </c>
      <c r="F23" s="10" t="n">
        <f aca="false">ROUND(D23-E23,1)</f>
        <v>0</v>
      </c>
      <c r="G23" s="8" t="str">
        <f aca="false">IF(ABS(F23)&lt;0.2,"Match",IF(ISNUMBER(SEARCH("FINDING",H23)),"Explained - finding","Explained - other data"))</f>
        <v>Match</v>
      </c>
      <c r="H23" s="8"/>
    </row>
    <row r="24" customFormat="false" ht="15" hidden="false" customHeight="false" outlineLevel="0" collapsed="false">
      <c r="A24" s="8" t="s">
        <v>512</v>
      </c>
      <c r="B24" s="8" t="s">
        <v>397</v>
      </c>
      <c r="C24" s="9" t="n">
        <v>14.25</v>
      </c>
      <c r="D24" s="10" t="n">
        <f aca="false">C24*'Assignment Calc'!$B$1</f>
        <v>128.25</v>
      </c>
      <c r="E24" s="10" t="n">
        <f aca="false">SUMPRODUCT(('Monthly Expected'!$A$2:$A$100=B24)*('Monthly Expected'!$B$2:$B$100=A24)*'Monthly Expected'!$F$2:$F$100)</f>
        <v>146.25</v>
      </c>
      <c r="F24" s="10" t="n">
        <f aca="false">ROUND(D24-E24,1)</f>
        <v>-18</v>
      </c>
      <c r="G24" s="8" t="str">
        <f aca="false">IF(ABS(F24)&lt;0.2,"Match",IF(ISNUMBER(SEARCH("FINDING",H24)),"Explained - finding","Explained - other data"))</f>
        <v>Explained - finding</v>
      </c>
      <c r="H24" s="8" t="s">
        <v>513</v>
      </c>
    </row>
    <row r="25" customFormat="false" ht="15" hidden="false" customHeight="false" outlineLevel="0" collapsed="false">
      <c r="A25" s="8" t="s">
        <v>512</v>
      </c>
      <c r="B25" s="8" t="s">
        <v>367</v>
      </c>
      <c r="C25" s="9" t="n">
        <v>14.667</v>
      </c>
      <c r="D25" s="10" t="n">
        <f aca="false">C25*'Assignment Calc'!$B$1</f>
        <v>132.003</v>
      </c>
      <c r="E25" s="10" t="n">
        <f aca="false">SUMPRODUCT(('Monthly Expected'!$A$2:$A$100=B25)*('Monthly Expected'!$B$2:$B$100=A25)*'Monthly Expected'!$F$2:$F$100)</f>
        <v>132</v>
      </c>
      <c r="F25" s="10" t="n">
        <f aca="false">ROUND(D25-E25,1)</f>
        <v>0</v>
      </c>
      <c r="G25" s="8" t="str">
        <f aca="false">IF(ABS(F25)&lt;0.2,"Match",IF(ISNUMBER(SEARCH("FINDING",H25)),"Explained - finding","Explained - other data"))</f>
        <v>Match</v>
      </c>
      <c r="H25" s="8"/>
    </row>
    <row r="26" customFormat="false" ht="15" hidden="false" customHeight="false" outlineLevel="0" collapsed="false">
      <c r="A26" s="8" t="s">
        <v>512</v>
      </c>
      <c r="B26" s="8" t="s">
        <v>333</v>
      </c>
      <c r="C26" s="9" t="n">
        <v>16.722</v>
      </c>
      <c r="D26" s="10" t="n">
        <f aca="false">C26*'Assignment Calc'!$B$1</f>
        <v>150.498</v>
      </c>
      <c r="E26" s="10" t="n">
        <f aca="false">SUMPRODUCT(('Monthly Expected'!$A$2:$A$100=B26)*('Monthly Expected'!$B$2:$B$100=A26)*'Monthly Expected'!$F$2:$F$100)</f>
        <v>150.5</v>
      </c>
      <c r="F26" s="10" t="n">
        <f aca="false">ROUND(D26-E26,1)</f>
        <v>-0</v>
      </c>
      <c r="G26" s="8" t="str">
        <f aca="false">IF(ABS(F26)&lt;0.2,"Match",IF(ISNUMBER(SEARCH("FINDING",H26)),"Explained - finding","Explained - other data"))</f>
        <v>Match</v>
      </c>
      <c r="H26" s="8"/>
    </row>
    <row r="27" customFormat="false" ht="15" hidden="false" customHeight="false" outlineLevel="0" collapsed="false">
      <c r="A27" s="8" t="s">
        <v>512</v>
      </c>
      <c r="B27" s="8" t="s">
        <v>117</v>
      </c>
      <c r="C27" s="9" t="n">
        <v>19.333</v>
      </c>
      <c r="D27" s="10" t="n">
        <f aca="false">C27*'Assignment Calc'!$B$1</f>
        <v>173.997</v>
      </c>
      <c r="E27" s="10" t="n">
        <f aca="false">SUMPRODUCT(('Monthly Expected'!$A$2:$A$100=B27)*('Monthly Expected'!$B$2:$B$100=A27)*'Monthly Expected'!$F$2:$F$100)</f>
        <v>151.5</v>
      </c>
      <c r="F27" s="10" t="n">
        <f aca="false">ROUND(D27-E27,1)</f>
        <v>22.5</v>
      </c>
      <c r="G27" s="8" t="str">
        <f aca="false">IF(ABS(F27)&lt;0.2,"Match",IF(ISNUMBER(SEARCH("FINDING",H27)),"Explained - finding","Explained - other data"))</f>
        <v>Explained - other data</v>
      </c>
      <c r="H27" s="8" t="s">
        <v>514</v>
      </c>
    </row>
    <row r="28" customFormat="false" ht="15" hidden="false" customHeight="false" outlineLevel="0" collapsed="false">
      <c r="A28" s="8" t="s">
        <v>512</v>
      </c>
      <c r="B28" s="8" t="s">
        <v>94</v>
      </c>
      <c r="C28" s="9" t="n">
        <v>15.056</v>
      </c>
      <c r="D28" s="10" t="n">
        <f aca="false">C28*'Assignment Calc'!$B$1</f>
        <v>135.504</v>
      </c>
      <c r="E28" s="10" t="n">
        <f aca="false">SUMPRODUCT(('Monthly Expected'!$A$2:$A$100=B28)*('Monthly Expected'!$B$2:$B$100=A28)*'Monthly Expected'!$F$2:$F$100)</f>
        <v>135.5</v>
      </c>
      <c r="F28" s="10" t="n">
        <f aca="false">ROUND(D28-E28,1)</f>
        <v>0</v>
      </c>
      <c r="G28" s="8" t="str">
        <f aca="false">IF(ABS(F28)&lt;0.2,"Match",IF(ISNUMBER(SEARCH("FINDING",H28)),"Explained - finding","Explained - other data"))</f>
        <v>Match</v>
      </c>
      <c r="H28" s="8"/>
    </row>
    <row r="29" customFormat="false" ht="15" hidden="false" customHeight="false" outlineLevel="0" collapsed="false">
      <c r="A29" s="8" t="s">
        <v>512</v>
      </c>
      <c r="B29" s="8" t="s">
        <v>262</v>
      </c>
      <c r="C29" s="9" t="n">
        <v>10.25</v>
      </c>
      <c r="D29" s="10" t="n">
        <f aca="false">C29*'Assignment Calc'!$B$1</f>
        <v>92.25</v>
      </c>
      <c r="E29" s="10" t="n">
        <f aca="false">SUMPRODUCT(('Monthly Expected'!$A$2:$A$100=B29)*('Monthly Expected'!$B$2:$B$100=A29)*'Monthly Expected'!$F$2:$F$100)</f>
        <v>110.25</v>
      </c>
      <c r="F29" s="10" t="n">
        <f aca="false">ROUND(D29-E29,1)</f>
        <v>-18</v>
      </c>
      <c r="G29" s="8" t="str">
        <f aca="false">IF(ABS(F29)&lt;0.2,"Match",IF(ISNUMBER(SEARCH("FINDING",H29)),"Explained - finding","Explained - other data"))</f>
        <v>Explained - finding</v>
      </c>
      <c r="H29" s="8" t="s">
        <v>513</v>
      </c>
    </row>
    <row r="30" customFormat="false" ht="15" hidden="false" customHeight="false" outlineLevel="0" collapsed="false">
      <c r="A30" s="8" t="s">
        <v>512</v>
      </c>
      <c r="B30" s="8" t="s">
        <v>298</v>
      </c>
      <c r="C30" s="9" t="n">
        <v>16.333</v>
      </c>
      <c r="D30" s="10" t="n">
        <f aca="false">C30*'Assignment Calc'!$B$1</f>
        <v>146.997</v>
      </c>
      <c r="E30" s="10" t="n">
        <f aca="false">SUMPRODUCT(('Monthly Expected'!$A$2:$A$100=B30)*('Monthly Expected'!$B$2:$B$100=A30)*'Monthly Expected'!$F$2:$F$100)</f>
        <v>147</v>
      </c>
      <c r="F30" s="10" t="n">
        <f aca="false">ROUND(D30-E30,1)</f>
        <v>-0</v>
      </c>
      <c r="G30" s="8" t="str">
        <f aca="false">IF(ABS(F30)&lt;0.2,"Match",IF(ISNUMBER(SEARCH("FINDING",H30)),"Explained - finding","Explained - other data"))</f>
        <v>Match</v>
      </c>
      <c r="H30" s="8"/>
    </row>
    <row r="31" customFormat="false" ht="15" hidden="false" customHeight="false" outlineLevel="0" collapsed="false">
      <c r="A31" s="8" t="s">
        <v>512</v>
      </c>
      <c r="B31" s="8" t="s">
        <v>39</v>
      </c>
      <c r="C31" s="9" t="n">
        <v>14.333</v>
      </c>
      <c r="D31" s="10" t="n">
        <f aca="false">C31*'Assignment Calc'!$B$1</f>
        <v>128.997</v>
      </c>
      <c r="E31" s="10" t="n">
        <f aca="false">SUMPRODUCT(('Monthly Expected'!$A$2:$A$100=B31)*('Monthly Expected'!$B$2:$B$100=A31)*'Monthly Expected'!$F$2:$F$100)</f>
        <v>129</v>
      </c>
      <c r="F31" s="10" t="n">
        <f aca="false">ROUND(D31-E31,1)</f>
        <v>-0</v>
      </c>
      <c r="G31" s="8" t="str">
        <f aca="false">IF(ABS(F31)&lt;0.2,"Match",IF(ISNUMBER(SEARCH("FINDING",H31)),"Explained - finding","Explained - other data"))</f>
        <v>Match</v>
      </c>
      <c r="H31" s="8"/>
    </row>
    <row r="33" customFormat="false" ht="15" hidden="false" customHeight="false" outlineLevel="0" collapsed="false">
      <c r="A33" s="7" t="s">
        <v>515</v>
      </c>
    </row>
    <row r="34" customFormat="false" ht="31.5" hidden="false" customHeight="true" outlineLevel="0" collapsed="false">
      <c r="A34" s="7" t="s">
        <v>516</v>
      </c>
      <c r="B34" s="11" t="s">
        <v>517</v>
      </c>
      <c r="C34" s="11"/>
      <c r="D34" s="11"/>
      <c r="E34" s="11"/>
      <c r="F34" s="11"/>
      <c r="G34" s="11"/>
      <c r="H34" s="11"/>
    </row>
    <row r="35" customFormat="false" ht="31.5" hidden="false" customHeight="true" outlineLevel="0" collapsed="false">
      <c r="A35" s="7" t="s">
        <v>518</v>
      </c>
      <c r="B35" s="11" t="s">
        <v>519</v>
      </c>
      <c r="C35" s="11"/>
      <c r="D35" s="11"/>
      <c r="E35" s="11"/>
      <c r="F35" s="11"/>
      <c r="G35" s="11"/>
      <c r="H35" s="11"/>
    </row>
    <row r="36" customFormat="false" ht="31.5" hidden="false" customHeight="true" outlineLevel="0" collapsed="false">
      <c r="A36" s="7" t="s">
        <v>520</v>
      </c>
      <c r="B36" s="11" t="s">
        <v>521</v>
      </c>
      <c r="C36" s="11"/>
      <c r="D36" s="11"/>
      <c r="E36" s="11"/>
      <c r="F36" s="11"/>
      <c r="G36" s="11"/>
      <c r="H36" s="11"/>
    </row>
    <row r="37" customFormat="false" ht="31.5" hidden="false" customHeight="true" outlineLevel="0" collapsed="false">
      <c r="A37" s="7" t="s">
        <v>522</v>
      </c>
      <c r="B37" s="11" t="s">
        <v>523</v>
      </c>
      <c r="C37" s="11"/>
      <c r="D37" s="11"/>
      <c r="E37" s="11"/>
      <c r="F37" s="11"/>
      <c r="G37" s="11"/>
      <c r="H37" s="11"/>
    </row>
    <row r="38" customFormat="false" ht="31.5" hidden="false" customHeight="true" outlineLevel="0" collapsed="false">
      <c r="A38" s="7" t="s">
        <v>524</v>
      </c>
      <c r="B38" s="11" t="s">
        <v>525</v>
      </c>
      <c r="C38" s="11"/>
      <c r="D38" s="11"/>
      <c r="E38" s="11"/>
      <c r="F38" s="11"/>
      <c r="G38" s="11"/>
      <c r="H38" s="11"/>
    </row>
    <row r="39" customFormat="false" ht="31.5" hidden="false" customHeight="true" outlineLevel="0" collapsed="false">
      <c r="A39" s="7" t="s">
        <v>526</v>
      </c>
      <c r="B39" s="11" t="s">
        <v>527</v>
      </c>
      <c r="C39" s="11"/>
      <c r="D39" s="11"/>
      <c r="E39" s="11"/>
      <c r="F39" s="11"/>
      <c r="G39" s="11"/>
      <c r="H39" s="11"/>
    </row>
  </sheetData>
  <mergeCells count="6">
    <mergeCell ref="B34:H34"/>
    <mergeCell ref="B35:H35"/>
    <mergeCell ref="B36:H36"/>
    <mergeCell ref="B37:H37"/>
    <mergeCell ref="B38:H38"/>
    <mergeCell ref="B39:H39"/>
  </mergeCells>
  <conditionalFormatting sqref="G5:G31">
    <cfRule type="expression" priority="2" aboveAverage="0" equalAverage="0" bottom="0" percent="0" rank="0" text="" dxfId="0">
      <formula>G5="Match"</formula>
    </cfRule>
    <cfRule type="expression" priority="3" aboveAverage="0" equalAverage="0" bottom="0" percent="0" rank="0" text="" dxfId="1">
      <formula>ISNUMBER(SEARCH("finding",G5))</formula>
    </cfRule>
    <cfRule type="expression" priority="4" aboveAverage="0" equalAverage="0" bottom="0" percent="0" rank="0" text="" dxfId="2">
      <formula>ISNUMBER(SEARCH("other",G5))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0"/>
  </cols>
  <sheetData>
    <row r="1" customFormat="false" ht="32.25" hidden="false" customHeight="true" outlineLevel="0" collapsed="false">
      <c r="A1" s="12" t="s">
        <v>528</v>
      </c>
      <c r="B1" s="13"/>
    </row>
    <row r="2" customFormat="false" ht="15" hidden="false" customHeight="true" outlineLevel="0" collapsed="false">
      <c r="A2" s="13" t="s">
        <v>529</v>
      </c>
      <c r="B2" s="13" t="s">
        <v>530</v>
      </c>
    </row>
    <row r="3" customFormat="false" ht="15" hidden="false" customHeight="true" outlineLevel="0" collapsed="false">
      <c r="A3" s="13" t="s">
        <v>531</v>
      </c>
      <c r="B3" s="13" t="s">
        <v>532</v>
      </c>
    </row>
    <row r="4" customFormat="false" ht="15" hidden="false" customHeight="true" outlineLevel="0" collapsed="false">
      <c r="A4" s="13"/>
      <c r="B4" s="13"/>
    </row>
    <row r="5" customFormat="false" ht="15" hidden="false" customHeight="true" outlineLevel="0" collapsed="false">
      <c r="A5" s="14" t="s">
        <v>533</v>
      </c>
      <c r="B5" s="13"/>
    </row>
    <row r="6" customFormat="false" ht="26.25" hidden="false" customHeight="true" outlineLevel="0" collapsed="false">
      <c r="A6" s="13" t="s">
        <v>534</v>
      </c>
      <c r="B6" s="13" t="s">
        <v>535</v>
      </c>
    </row>
    <row r="7" customFormat="false" ht="15" hidden="false" customHeight="true" outlineLevel="0" collapsed="false">
      <c r="A7" s="13" t="s">
        <v>536</v>
      </c>
      <c r="B7" s="13" t="s">
        <v>537</v>
      </c>
    </row>
    <row r="8" customFormat="false" ht="26.25" hidden="false" customHeight="true" outlineLevel="0" collapsed="false">
      <c r="A8" s="13" t="s">
        <v>538</v>
      </c>
      <c r="B8" s="13" t="s">
        <v>539</v>
      </c>
    </row>
    <row r="9" customFormat="false" ht="26.25" hidden="false" customHeight="true" outlineLevel="0" collapsed="false">
      <c r="A9" s="13" t="s">
        <v>540</v>
      </c>
      <c r="B9" s="13" t="s">
        <v>541</v>
      </c>
    </row>
    <row r="10" customFormat="false" ht="15" hidden="false" customHeight="true" outlineLevel="0" collapsed="false">
      <c r="A10" s="13" t="s">
        <v>542</v>
      </c>
      <c r="B10" s="13" t="s">
        <v>543</v>
      </c>
    </row>
    <row r="11" customFormat="false" ht="15" hidden="false" customHeight="true" outlineLevel="0" collapsed="false">
      <c r="A11" s="13" t="s">
        <v>544</v>
      </c>
      <c r="B11" s="13" t="s">
        <v>545</v>
      </c>
    </row>
    <row r="12" customFormat="false" ht="15" hidden="false" customHeight="true" outlineLevel="0" collapsed="false">
      <c r="A12" s="13"/>
      <c r="B12" s="13"/>
    </row>
    <row r="13" customFormat="false" ht="15" hidden="false" customHeight="true" outlineLevel="0" collapsed="false">
      <c r="A13" s="14" t="s">
        <v>546</v>
      </c>
      <c r="B13" s="13"/>
    </row>
    <row r="14" customFormat="false" ht="15" hidden="false" customHeight="true" outlineLevel="0" collapsed="false">
      <c r="A14" s="13" t="s">
        <v>547</v>
      </c>
      <c r="B14" s="13" t="s">
        <v>548</v>
      </c>
    </row>
    <row r="15" customFormat="false" ht="15" hidden="false" customHeight="true" outlineLevel="0" collapsed="false">
      <c r="A15" s="13" t="s">
        <v>549</v>
      </c>
      <c r="B15" s="13" t="s">
        <v>550</v>
      </c>
    </row>
    <row r="16" customFormat="false" ht="15" hidden="false" customHeight="true" outlineLevel="0" collapsed="false">
      <c r="A16" s="13" t="s">
        <v>551</v>
      </c>
      <c r="B16" s="13" t="s">
        <v>552</v>
      </c>
    </row>
    <row r="17" customFormat="false" ht="26.25" hidden="false" customHeight="true" outlineLevel="0" collapsed="false">
      <c r="A17" s="13" t="s">
        <v>553</v>
      </c>
      <c r="B17" s="13" t="s">
        <v>554</v>
      </c>
    </row>
    <row r="18" customFormat="false" ht="26.25" hidden="false" customHeight="true" outlineLevel="0" collapsed="false">
      <c r="A18" s="13" t="s">
        <v>555</v>
      </c>
      <c r="B18" s="13" t="s">
        <v>556</v>
      </c>
    </row>
    <row r="19" customFormat="false" ht="15" hidden="false" customHeight="true" outlineLevel="0" collapsed="false">
      <c r="A19" s="13"/>
      <c r="B19" s="13"/>
    </row>
    <row r="20" customFormat="false" ht="15" hidden="false" customHeight="true" outlineLevel="0" collapsed="false">
      <c r="A20" s="14" t="s">
        <v>557</v>
      </c>
      <c r="B20" s="13"/>
    </row>
    <row r="21" customFormat="false" ht="26.25" hidden="false" customHeight="true" outlineLevel="0" collapsed="false">
      <c r="A21" s="13" t="s">
        <v>558</v>
      </c>
      <c r="B21" s="13" t="s">
        <v>559</v>
      </c>
    </row>
    <row r="22" customFormat="false" ht="26.25" hidden="false" customHeight="true" outlineLevel="0" collapsed="false">
      <c r="A22" s="13" t="s">
        <v>560</v>
      </c>
      <c r="B22" s="13" t="s">
        <v>561</v>
      </c>
    </row>
    <row r="23" customFormat="false" ht="15" hidden="false" customHeight="true" outlineLevel="0" collapsed="false">
      <c r="A23" s="13" t="s">
        <v>562</v>
      </c>
      <c r="B23" s="13" t="s">
        <v>563</v>
      </c>
    </row>
    <row r="24" customFormat="false" ht="15" hidden="false" customHeight="true" outlineLevel="0" collapsed="false">
      <c r="A24" s="13" t="s">
        <v>168</v>
      </c>
      <c r="B24" s="13" t="s">
        <v>564</v>
      </c>
    </row>
    <row r="25" customFormat="false" ht="26.25" hidden="false" customHeight="true" outlineLevel="0" collapsed="false">
      <c r="A25" s="13" t="s">
        <v>565</v>
      </c>
      <c r="B25" s="13" t="s">
        <v>566</v>
      </c>
    </row>
    <row r="26" customFormat="false" ht="15" hidden="false" customHeight="true" outlineLevel="0" collapsed="false">
      <c r="A26" s="13" t="s">
        <v>567</v>
      </c>
      <c r="B26" s="13" t="s">
        <v>568</v>
      </c>
    </row>
    <row r="27" customFormat="false" ht="15" hidden="false" customHeight="true" outlineLevel="0" collapsed="false">
      <c r="A27" s="13"/>
      <c r="B27" s="13"/>
    </row>
    <row r="28" customFormat="false" ht="15" hidden="false" customHeight="true" outlineLevel="0" collapsed="false">
      <c r="A28" s="14" t="s">
        <v>569</v>
      </c>
      <c r="B28" s="13"/>
    </row>
    <row r="29" customFormat="false" ht="26.25" hidden="false" customHeight="true" outlineLevel="0" collapsed="false">
      <c r="A29" s="13" t="s">
        <v>77</v>
      </c>
      <c r="B29" s="13" t="s">
        <v>570</v>
      </c>
    </row>
    <row r="30" customFormat="false" ht="15" hidden="false" customHeight="true" outlineLevel="0" collapsed="false">
      <c r="A30" s="13" t="s">
        <v>106</v>
      </c>
      <c r="B30" s="13" t="s">
        <v>571</v>
      </c>
    </row>
    <row r="31" customFormat="false" ht="15" hidden="false" customHeight="true" outlineLevel="0" collapsed="false">
      <c r="A31" s="13" t="s">
        <v>128</v>
      </c>
      <c r="B31" s="13" t="s">
        <v>572</v>
      </c>
    </row>
    <row r="32" customFormat="false" ht="15" hidden="false" customHeight="true" outlineLevel="0" collapsed="false">
      <c r="A32" s="13" t="s">
        <v>186</v>
      </c>
      <c r="B32" s="13" t="s">
        <v>573</v>
      </c>
    </row>
    <row r="33" customFormat="false" ht="15" hidden="false" customHeight="true" outlineLevel="0" collapsed="false">
      <c r="A33" s="13" t="s">
        <v>45</v>
      </c>
      <c r="B33" s="13" t="s">
        <v>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20"/>
  </cols>
  <sheetData>
    <row r="1" customFormat="false" ht="26.25" hidden="false" customHeight="true" outlineLevel="0" collapsed="false">
      <c r="A1" s="14" t="s">
        <v>494</v>
      </c>
      <c r="B1" s="14" t="s">
        <v>575</v>
      </c>
      <c r="C1" s="14" t="s">
        <v>576</v>
      </c>
      <c r="D1" s="14" t="s">
        <v>577</v>
      </c>
      <c r="E1" s="14" t="s">
        <v>578</v>
      </c>
      <c r="F1" s="14" t="s">
        <v>579</v>
      </c>
      <c r="G1" s="14" t="s">
        <v>580</v>
      </c>
      <c r="H1" s="14" t="s">
        <v>581</v>
      </c>
      <c r="I1" s="14" t="s">
        <v>582</v>
      </c>
      <c r="J1" s="14" t="s">
        <v>583</v>
      </c>
      <c r="K1" s="14" t="s">
        <v>584</v>
      </c>
      <c r="L1" s="14" t="s">
        <v>585</v>
      </c>
      <c r="M1" s="14" t="s">
        <v>586</v>
      </c>
    </row>
    <row r="2" customFormat="false" ht="26.25" hidden="false" customHeight="true" outlineLevel="0" collapsed="false">
      <c r="A2" s="13" t="s">
        <v>39</v>
      </c>
      <c r="B2" s="15" t="s">
        <v>587</v>
      </c>
      <c r="C2" s="16" t="s">
        <v>588</v>
      </c>
      <c r="D2" s="17" t="s">
        <v>589</v>
      </c>
      <c r="E2" s="18" t="s">
        <v>590</v>
      </c>
      <c r="F2" s="16" t="s">
        <v>591</v>
      </c>
      <c r="G2" s="17" t="s">
        <v>592</v>
      </c>
      <c r="H2" s="18" t="s">
        <v>593</v>
      </c>
      <c r="I2" s="15" t="s">
        <v>594</v>
      </c>
      <c r="J2" s="17" t="s">
        <v>595</v>
      </c>
      <c r="K2" s="18" t="s">
        <v>590</v>
      </c>
      <c r="L2" s="15" t="s">
        <v>596</v>
      </c>
      <c r="M2" s="16" t="s">
        <v>597</v>
      </c>
    </row>
    <row r="3" customFormat="false" ht="26.25" hidden="false" customHeight="true" outlineLevel="0" collapsed="false">
      <c r="A3" s="13" t="s">
        <v>94</v>
      </c>
      <c r="B3" s="16" t="s">
        <v>598</v>
      </c>
      <c r="C3" s="17" t="s">
        <v>599</v>
      </c>
      <c r="D3" s="18" t="s">
        <v>590</v>
      </c>
      <c r="E3" s="15" t="s">
        <v>600</v>
      </c>
      <c r="F3" s="17" t="s">
        <v>589</v>
      </c>
      <c r="G3" s="18" t="s">
        <v>590</v>
      </c>
      <c r="H3" s="15" t="s">
        <v>587</v>
      </c>
      <c r="I3" s="16" t="s">
        <v>588</v>
      </c>
      <c r="J3" s="18" t="s">
        <v>593</v>
      </c>
      <c r="K3" s="15" t="s">
        <v>594</v>
      </c>
      <c r="L3" s="16" t="s">
        <v>591</v>
      </c>
      <c r="M3" s="17" t="s">
        <v>592</v>
      </c>
    </row>
    <row r="4" customFormat="false" ht="26.25" hidden="false" customHeight="true" outlineLevel="0" collapsed="false">
      <c r="A4" s="13" t="s">
        <v>117</v>
      </c>
      <c r="B4" s="17" t="s">
        <v>595</v>
      </c>
      <c r="C4" s="18" t="s">
        <v>590</v>
      </c>
      <c r="D4" s="15" t="s">
        <v>596</v>
      </c>
      <c r="E4" s="16" t="s">
        <v>597</v>
      </c>
      <c r="F4" s="18" t="s">
        <v>590</v>
      </c>
      <c r="G4" s="15" t="s">
        <v>600</v>
      </c>
      <c r="H4" s="16" t="s">
        <v>598</v>
      </c>
      <c r="I4" s="17" t="s">
        <v>599</v>
      </c>
      <c r="J4" s="15" t="s">
        <v>587</v>
      </c>
      <c r="K4" s="16" t="s">
        <v>588</v>
      </c>
      <c r="L4" s="17" t="s">
        <v>589</v>
      </c>
      <c r="M4" s="18" t="s">
        <v>590</v>
      </c>
    </row>
    <row r="5" customFormat="false" ht="26.25" hidden="false" customHeight="true" outlineLevel="0" collapsed="false">
      <c r="A5" s="13" t="s">
        <v>262</v>
      </c>
      <c r="B5" s="18" t="s">
        <v>593</v>
      </c>
      <c r="C5" s="15" t="s">
        <v>594</v>
      </c>
      <c r="D5" s="16" t="s">
        <v>591</v>
      </c>
      <c r="E5" s="17" t="s">
        <v>592</v>
      </c>
      <c r="F5" s="15" t="s">
        <v>596</v>
      </c>
      <c r="G5" s="16" t="s">
        <v>597</v>
      </c>
      <c r="H5" s="17" t="s">
        <v>595</v>
      </c>
      <c r="I5" s="18" t="s">
        <v>590</v>
      </c>
      <c r="J5" s="16" t="s">
        <v>598</v>
      </c>
      <c r="K5" s="17" t="s">
        <v>599</v>
      </c>
      <c r="L5" s="18" t="s">
        <v>590</v>
      </c>
      <c r="M5" s="15" t="s">
        <v>600</v>
      </c>
    </row>
    <row r="6" customFormat="false" ht="26.25" hidden="false" customHeight="true" outlineLevel="0" collapsed="false">
      <c r="A6" s="13" t="s">
        <v>298</v>
      </c>
      <c r="B6" s="15" t="s">
        <v>587</v>
      </c>
      <c r="C6" s="16" t="s">
        <v>588</v>
      </c>
      <c r="D6" s="17" t="s">
        <v>589</v>
      </c>
      <c r="E6" s="18" t="s">
        <v>590</v>
      </c>
      <c r="F6" s="16" t="s">
        <v>591</v>
      </c>
      <c r="G6" s="17" t="s">
        <v>592</v>
      </c>
      <c r="H6" s="18" t="s">
        <v>593</v>
      </c>
      <c r="I6" s="15" t="s">
        <v>594</v>
      </c>
      <c r="J6" s="17" t="s">
        <v>595</v>
      </c>
      <c r="K6" s="18" t="s">
        <v>590</v>
      </c>
      <c r="L6" s="15" t="s">
        <v>596</v>
      </c>
      <c r="M6" s="16" t="s">
        <v>597</v>
      </c>
    </row>
    <row r="7" customFormat="false" ht="26.25" hidden="false" customHeight="true" outlineLevel="0" collapsed="false">
      <c r="A7" s="13" t="s">
        <v>333</v>
      </c>
      <c r="B7" s="16" t="s">
        <v>598</v>
      </c>
      <c r="C7" s="17" t="s">
        <v>599</v>
      </c>
      <c r="D7" s="18" t="s">
        <v>590</v>
      </c>
      <c r="E7" s="15" t="s">
        <v>600</v>
      </c>
      <c r="F7" s="17" t="s">
        <v>589</v>
      </c>
      <c r="G7" s="18" t="s">
        <v>590</v>
      </c>
      <c r="H7" s="15" t="s">
        <v>587</v>
      </c>
      <c r="I7" s="16" t="s">
        <v>588</v>
      </c>
      <c r="J7" s="18" t="s">
        <v>593</v>
      </c>
      <c r="K7" s="15" t="s">
        <v>594</v>
      </c>
      <c r="L7" s="16" t="s">
        <v>591</v>
      </c>
      <c r="M7" s="17" t="s">
        <v>592</v>
      </c>
    </row>
    <row r="8" customFormat="false" ht="26.25" hidden="false" customHeight="true" outlineLevel="0" collapsed="false">
      <c r="A8" s="13" t="s">
        <v>367</v>
      </c>
      <c r="B8" s="17" t="s">
        <v>595</v>
      </c>
      <c r="C8" s="18" t="s">
        <v>590</v>
      </c>
      <c r="D8" s="15" t="s">
        <v>596</v>
      </c>
      <c r="E8" s="16" t="s">
        <v>597</v>
      </c>
      <c r="F8" s="18" t="s">
        <v>590</v>
      </c>
      <c r="G8" s="15" t="s">
        <v>600</v>
      </c>
      <c r="H8" s="16" t="s">
        <v>598</v>
      </c>
      <c r="I8" s="17" t="s">
        <v>599</v>
      </c>
      <c r="J8" s="15" t="s">
        <v>587</v>
      </c>
      <c r="K8" s="16" t="s">
        <v>588</v>
      </c>
      <c r="L8" s="17" t="s">
        <v>589</v>
      </c>
      <c r="M8" s="18" t="s">
        <v>590</v>
      </c>
    </row>
    <row r="9" customFormat="false" ht="26.25" hidden="false" customHeight="true" outlineLevel="0" collapsed="false">
      <c r="A9" s="13" t="s">
        <v>397</v>
      </c>
      <c r="B9" s="18" t="s">
        <v>593</v>
      </c>
      <c r="C9" s="15" t="s">
        <v>594</v>
      </c>
      <c r="D9" s="16" t="s">
        <v>591</v>
      </c>
      <c r="E9" s="17" t="s">
        <v>592</v>
      </c>
      <c r="F9" s="15" t="s">
        <v>596</v>
      </c>
      <c r="G9" s="16" t="s">
        <v>597</v>
      </c>
      <c r="H9" s="17" t="s">
        <v>595</v>
      </c>
      <c r="I9" s="18" t="s">
        <v>590</v>
      </c>
      <c r="J9" s="16" t="s">
        <v>598</v>
      </c>
      <c r="K9" s="17" t="s">
        <v>599</v>
      </c>
      <c r="L9" s="18" t="s">
        <v>590</v>
      </c>
      <c r="M9" s="15" t="s">
        <v>600</v>
      </c>
    </row>
    <row r="10" customFormat="false" ht="15" hidden="false" customHeight="tru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 customFormat="false" ht="15" hidden="false" customHeight="true" outlineLevel="0" collapsed="false">
      <c r="A11" s="14" t="s">
        <v>601</v>
      </c>
      <c r="B11" s="14" t="s">
        <v>602</v>
      </c>
      <c r="C11" s="14" t="s">
        <v>603</v>
      </c>
      <c r="D11" s="14" t="s">
        <v>604</v>
      </c>
      <c r="E11" s="14" t="s">
        <v>605</v>
      </c>
      <c r="F11" s="14" t="s">
        <v>606</v>
      </c>
      <c r="G11" s="14" t="s">
        <v>607</v>
      </c>
      <c r="H11" s="14"/>
      <c r="I11" s="14"/>
      <c r="J11" s="14"/>
      <c r="K11" s="14"/>
      <c r="L11" s="14"/>
      <c r="M11" s="14"/>
    </row>
    <row r="12" customFormat="false" ht="39" hidden="false" customHeight="true" outlineLevel="0" collapsed="false">
      <c r="A12" s="13" t="s">
        <v>431</v>
      </c>
      <c r="B12" s="13" t="s">
        <v>608</v>
      </c>
      <c r="C12" s="13" t="s">
        <v>137</v>
      </c>
      <c r="D12" s="13" t="s">
        <v>68</v>
      </c>
      <c r="E12" s="13" t="s">
        <v>433</v>
      </c>
      <c r="F12" s="13" t="s">
        <v>609</v>
      </c>
      <c r="G12" s="13" t="s">
        <v>610</v>
      </c>
      <c r="H12" s="13"/>
      <c r="I12" s="13"/>
      <c r="J12" s="13"/>
      <c r="K12" s="13"/>
      <c r="L12" s="13"/>
      <c r="M12" s="13"/>
    </row>
    <row r="13" customFormat="false" ht="26.25" hidden="false" customHeight="true" outlineLevel="0" collapsed="false">
      <c r="A13" s="13" t="s">
        <v>436</v>
      </c>
      <c r="B13" s="13" t="s">
        <v>611</v>
      </c>
      <c r="C13" s="13" t="s">
        <v>137</v>
      </c>
      <c r="D13" s="13" t="s">
        <v>68</v>
      </c>
      <c r="E13" s="13" t="s">
        <v>68</v>
      </c>
      <c r="F13" s="13" t="s">
        <v>612</v>
      </c>
      <c r="G13" s="13" t="s">
        <v>613</v>
      </c>
      <c r="H13" s="13"/>
      <c r="I13" s="13"/>
      <c r="J13" s="13"/>
      <c r="K13" s="13"/>
      <c r="L13" s="13"/>
      <c r="M13" s="13"/>
    </row>
    <row r="14" customFormat="false" ht="51.75" hidden="false" customHeight="true" outlineLevel="0" collapsed="false">
      <c r="A14" s="13" t="s">
        <v>440</v>
      </c>
      <c r="B14" s="13" t="s">
        <v>614</v>
      </c>
      <c r="C14" s="13" t="s">
        <v>52</v>
      </c>
      <c r="D14" s="13" t="s">
        <v>119</v>
      </c>
      <c r="E14" s="13" t="s">
        <v>433</v>
      </c>
      <c r="F14" s="13" t="s">
        <v>615</v>
      </c>
      <c r="G14" s="13" t="s">
        <v>616</v>
      </c>
      <c r="H14" s="13"/>
      <c r="I14" s="13"/>
      <c r="J14" s="13"/>
      <c r="K14" s="13"/>
      <c r="L14" s="13"/>
      <c r="M14" s="13"/>
    </row>
    <row r="15" customFormat="false" ht="26.25" hidden="false" customHeight="true" outlineLevel="0" collapsed="false">
      <c r="A15" s="13" t="s">
        <v>445</v>
      </c>
      <c r="B15" s="13" t="s">
        <v>617</v>
      </c>
      <c r="C15" s="13" t="s">
        <v>137</v>
      </c>
      <c r="D15" s="13" t="s">
        <v>68</v>
      </c>
      <c r="E15" s="13" t="s">
        <v>96</v>
      </c>
      <c r="F15" s="13" t="s">
        <v>618</v>
      </c>
      <c r="G15" s="13" t="s">
        <v>619</v>
      </c>
      <c r="H15" s="13"/>
      <c r="I15" s="13"/>
      <c r="J15" s="13"/>
      <c r="K15" s="13"/>
      <c r="L15" s="13"/>
      <c r="M15" s="13"/>
    </row>
    <row r="16" customFormat="false" ht="26.25" hidden="false" customHeight="true" outlineLevel="0" collapsed="false">
      <c r="A16" s="13" t="s">
        <v>448</v>
      </c>
      <c r="B16" s="13" t="s">
        <v>620</v>
      </c>
      <c r="C16" s="13" t="s">
        <v>168</v>
      </c>
      <c r="D16" s="13" t="s">
        <v>68</v>
      </c>
      <c r="E16" s="13" t="s">
        <v>96</v>
      </c>
      <c r="F16" s="13" t="s">
        <v>621</v>
      </c>
      <c r="G16" s="13" t="s">
        <v>622</v>
      </c>
      <c r="H16" s="13"/>
      <c r="I16" s="13"/>
      <c r="J16" s="13"/>
      <c r="K16" s="13"/>
      <c r="L16" s="13"/>
      <c r="M16" s="13"/>
    </row>
    <row r="17" customFormat="false" ht="26.25" hidden="false" customHeight="true" outlineLevel="0" collapsed="false">
      <c r="A17" s="13" t="s">
        <v>451</v>
      </c>
      <c r="B17" s="13" t="s">
        <v>623</v>
      </c>
      <c r="C17" s="13" t="s">
        <v>137</v>
      </c>
      <c r="D17" s="13" t="s">
        <v>452</v>
      </c>
      <c r="E17" s="13" t="s">
        <v>453</v>
      </c>
      <c r="F17" s="13" t="s">
        <v>624</v>
      </c>
      <c r="G17" s="13" t="s">
        <v>625</v>
      </c>
      <c r="H17" s="13"/>
      <c r="I17" s="13"/>
      <c r="J17" s="13"/>
      <c r="K17" s="13"/>
      <c r="L17" s="13"/>
      <c r="M17" s="13"/>
    </row>
    <row r="18" customFormat="false" ht="26.25" hidden="false" customHeight="true" outlineLevel="0" collapsed="false">
      <c r="A18" s="13" t="s">
        <v>455</v>
      </c>
      <c r="B18" s="13" t="s">
        <v>626</v>
      </c>
      <c r="C18" s="13" t="s">
        <v>52</v>
      </c>
      <c r="D18" s="13" t="s">
        <v>452</v>
      </c>
      <c r="E18" s="13" t="s">
        <v>453</v>
      </c>
      <c r="F18" s="13" t="s">
        <v>627</v>
      </c>
      <c r="G18" s="13" t="s">
        <v>628</v>
      </c>
      <c r="H18" s="13"/>
      <c r="I18" s="13"/>
      <c r="J18" s="13"/>
      <c r="K18" s="13"/>
      <c r="L18" s="13"/>
      <c r="M18" s="13"/>
    </row>
    <row r="19" customFormat="false" ht="39" hidden="false" customHeight="true" outlineLevel="0" collapsed="false">
      <c r="A19" s="13" t="s">
        <v>458</v>
      </c>
      <c r="B19" s="13" t="s">
        <v>629</v>
      </c>
      <c r="C19" s="13" t="s">
        <v>52</v>
      </c>
      <c r="D19" s="13" t="s">
        <v>460</v>
      </c>
      <c r="E19" s="13" t="s">
        <v>453</v>
      </c>
      <c r="F19" s="13" t="s">
        <v>630</v>
      </c>
      <c r="G19" s="13" t="s">
        <v>631</v>
      </c>
      <c r="H19" s="13"/>
      <c r="I19" s="13"/>
      <c r="J19" s="13"/>
      <c r="K19" s="13"/>
      <c r="L19" s="13"/>
      <c r="M19" s="13"/>
    </row>
    <row r="20" customFormat="false" ht="51.75" hidden="false" customHeight="true" outlineLevel="0" collapsed="false">
      <c r="A20" s="13" t="s">
        <v>465</v>
      </c>
      <c r="B20" s="13" t="s">
        <v>632</v>
      </c>
      <c r="C20" s="13" t="s">
        <v>168</v>
      </c>
      <c r="D20" s="13" t="s">
        <v>460</v>
      </c>
      <c r="E20" s="13" t="s">
        <v>453</v>
      </c>
      <c r="F20" s="13" t="s">
        <v>633</v>
      </c>
      <c r="G20" s="13" t="s">
        <v>634</v>
      </c>
      <c r="H20" s="13"/>
      <c r="I20" s="13"/>
      <c r="J20" s="13"/>
      <c r="K20" s="13"/>
      <c r="L20" s="13"/>
      <c r="M20" s="13"/>
    </row>
    <row r="21" customFormat="false" ht="77.25" hidden="false" customHeight="true" outlineLevel="0" collapsed="false">
      <c r="A21" s="13" t="s">
        <v>470</v>
      </c>
      <c r="B21" s="13" t="s">
        <v>635</v>
      </c>
      <c r="C21" s="13" t="s">
        <v>52</v>
      </c>
      <c r="D21" s="13" t="s">
        <v>43</v>
      </c>
      <c r="E21" s="13" t="s">
        <v>44</v>
      </c>
      <c r="F21" s="13" t="s">
        <v>636</v>
      </c>
      <c r="G21" s="13" t="s">
        <v>637</v>
      </c>
      <c r="H21" s="13"/>
      <c r="I21" s="13"/>
      <c r="J21" s="13"/>
      <c r="K21" s="13"/>
      <c r="L21" s="13"/>
      <c r="M21" s="13"/>
    </row>
    <row r="22" customFormat="false" ht="26.25" hidden="false" customHeight="true" outlineLevel="0" collapsed="false">
      <c r="A22" s="13" t="s">
        <v>473</v>
      </c>
      <c r="B22" s="13" t="s">
        <v>638</v>
      </c>
      <c r="C22" s="13" t="s">
        <v>137</v>
      </c>
      <c r="D22" s="13" t="s">
        <v>133</v>
      </c>
      <c r="E22" s="13" t="s">
        <v>134</v>
      </c>
      <c r="F22" s="13" t="s">
        <v>639</v>
      </c>
      <c r="G22" s="13" t="s">
        <v>640</v>
      </c>
      <c r="H22" s="13"/>
      <c r="I22" s="13"/>
      <c r="J22" s="13"/>
      <c r="K22" s="13"/>
      <c r="L22" s="13"/>
      <c r="M22" s="13"/>
    </row>
    <row r="23" customFormat="false" ht="39" hidden="false" customHeight="true" outlineLevel="0" collapsed="false">
      <c r="A23" s="13" t="s">
        <v>475</v>
      </c>
      <c r="B23" s="13" t="s">
        <v>641</v>
      </c>
      <c r="C23" s="13" t="s">
        <v>137</v>
      </c>
      <c r="D23" s="13"/>
      <c r="E23" s="13"/>
      <c r="F23" s="13" t="s">
        <v>642</v>
      </c>
      <c r="G23" s="13" t="s">
        <v>643</v>
      </c>
      <c r="H23" s="13"/>
      <c r="I23" s="13"/>
      <c r="J23" s="13"/>
      <c r="K23" s="13"/>
      <c r="L23" s="13"/>
      <c r="M23" s="13"/>
    </row>
    <row r="24" customFormat="false" ht="26.25" hidden="false" customHeight="true" outlineLevel="0" collapsed="false">
      <c r="A24" s="13" t="s">
        <v>479</v>
      </c>
      <c r="B24" s="13" t="s">
        <v>644</v>
      </c>
      <c r="C24" s="13" t="s">
        <v>52</v>
      </c>
      <c r="D24" s="13" t="s">
        <v>96</v>
      </c>
      <c r="E24" s="13" t="s">
        <v>96</v>
      </c>
      <c r="F24" s="13" t="s">
        <v>645</v>
      </c>
      <c r="G24" s="13" t="s">
        <v>646</v>
      </c>
      <c r="H24" s="13"/>
      <c r="I24" s="13"/>
      <c r="J24" s="13"/>
      <c r="K24" s="13"/>
      <c r="L24" s="13"/>
      <c r="M24" s="13"/>
    </row>
    <row r="25" customFormat="false" ht="26.25" hidden="false" customHeight="true" outlineLevel="0" collapsed="false">
      <c r="A25" s="13" t="s">
        <v>481</v>
      </c>
      <c r="B25" s="13" t="s">
        <v>647</v>
      </c>
      <c r="C25" s="13" t="s">
        <v>168</v>
      </c>
      <c r="D25" s="13" t="s">
        <v>68</v>
      </c>
      <c r="E25" s="13" t="s">
        <v>68</v>
      </c>
      <c r="F25" s="13" t="s">
        <v>648</v>
      </c>
      <c r="G25" s="13" t="s">
        <v>649</v>
      </c>
      <c r="H25" s="13"/>
      <c r="I25" s="13"/>
      <c r="J25" s="13"/>
      <c r="K25" s="13"/>
      <c r="L25" s="13"/>
      <c r="M25" s="13"/>
    </row>
    <row r="26" customFormat="false" ht="39" hidden="false" customHeight="true" outlineLevel="0" collapsed="false">
      <c r="A26" s="13" t="s">
        <v>486</v>
      </c>
      <c r="B26" s="13" t="s">
        <v>650</v>
      </c>
      <c r="C26" s="13" t="s">
        <v>52</v>
      </c>
      <c r="D26" s="13" t="s">
        <v>452</v>
      </c>
      <c r="E26" s="13" t="s">
        <v>452</v>
      </c>
      <c r="F26" s="13" t="s">
        <v>651</v>
      </c>
      <c r="G26" s="13" t="s">
        <v>652</v>
      </c>
      <c r="H26" s="13"/>
      <c r="I26" s="13"/>
      <c r="J26" s="13"/>
      <c r="K26" s="13"/>
      <c r="L26" s="13"/>
      <c r="M26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"/>
    <col collapsed="false" customWidth="true" hidden="false" outlineLevel="0" max="3" min="3" style="1" width="66"/>
    <col collapsed="false" customWidth="true" hidden="false" outlineLevel="0" max="4" min="4" style="1" width="32"/>
    <col collapsed="false" customWidth="true" hidden="false" outlineLevel="0" max="14" min="5" style="1" width="13"/>
  </cols>
  <sheetData>
    <row r="1" customFormat="false" ht="15" hidden="false" customHeight="true" outlineLevel="0" collapsed="false">
      <c r="A1" s="1" t="s">
        <v>653</v>
      </c>
      <c r="B1" s="19" t="n">
        <v>9</v>
      </c>
      <c r="C1" s="1" t="s">
        <v>654</v>
      </c>
    </row>
    <row r="2" customFormat="false" ht="15" hidden="false" customHeight="true" outlineLevel="0" collapsed="false">
      <c r="A2" s="1" t="s">
        <v>655</v>
      </c>
      <c r="B2" s="19" t="n">
        <v>1</v>
      </c>
      <c r="C2" s="1" t="s">
        <v>656</v>
      </c>
    </row>
    <row r="4" customFormat="false" ht="15" hidden="false" customHeight="true" outlineLevel="0" collapsed="false">
      <c r="A4" s="2" t="s">
        <v>657</v>
      </c>
      <c r="B4" s="2" t="s">
        <v>658</v>
      </c>
      <c r="C4" s="2" t="s">
        <v>659</v>
      </c>
      <c r="D4" s="2" t="s">
        <v>660</v>
      </c>
      <c r="E4" s="2" t="s">
        <v>661</v>
      </c>
      <c r="F4" s="2" t="s">
        <v>603</v>
      </c>
      <c r="G4" s="2" t="s">
        <v>662</v>
      </c>
      <c r="H4" s="2" t="s">
        <v>604</v>
      </c>
      <c r="I4" s="2" t="s">
        <v>605</v>
      </c>
      <c r="J4" s="2" t="s">
        <v>663</v>
      </c>
      <c r="K4" s="2" t="s">
        <v>664</v>
      </c>
      <c r="L4" s="2" t="s">
        <v>665</v>
      </c>
      <c r="M4" s="2" t="s">
        <v>666</v>
      </c>
      <c r="N4" s="2" t="s">
        <v>667</v>
      </c>
    </row>
    <row r="5" customFormat="false" ht="15" hidden="false" customHeight="true" outlineLevel="0" collapsed="false">
      <c r="A5" s="20" t="s">
        <v>668</v>
      </c>
      <c r="B5" s="20" t="n">
        <v>2</v>
      </c>
      <c r="C5" s="20" t="str">
        <f aca="false">Tasks!A2</f>
        <v>WL Oct W1 Over-allocated (1 of 2) - Vishal workload</v>
      </c>
      <c r="D5" s="20" t="s">
        <v>39</v>
      </c>
      <c r="E5" s="20" t="str">
        <f aca="false">Tasks!C2</f>
        <v>Open</v>
      </c>
      <c r="F5" s="20" t="str">
        <f aca="false">Tasks!O2</f>
        <v>hrs/day</v>
      </c>
      <c r="G5" s="21" t="n">
        <v>6</v>
      </c>
      <c r="H5" s="22" t="n">
        <f aca="false">IF(Tasks!F2="","",DATE(RIGHT(Tasks!F2,4),MID(Tasks!F2,4,2),LEFT(Tasks!F2,2)))</f>
        <v>46300</v>
      </c>
      <c r="I5" s="22" t="n">
        <f aca="false">IF(Tasks!G2="","",DATE(RIGHT(Tasks!G2,4),MID(Tasks!G2,4,2),LEFT(Tasks!G2,2)))</f>
        <v>46304</v>
      </c>
      <c r="J5" s="20" t="n">
        <f aca="false">IF(H5="",0,NETWORKDAYS(H5,I5))</f>
        <v>5</v>
      </c>
      <c r="K5" s="23" t="n">
        <f aca="false">IF(OR(H5="",J5=0),0,IF(F5="hrs/day",G5,IF(F5="%/day",G5/100*$B$1,G5/J5)))</f>
        <v>6</v>
      </c>
      <c r="L5" s="20" t="n">
        <f aca="false">IF(A5="Previous import",$B$2,1)</f>
        <v>1</v>
      </c>
      <c r="M5" s="20" t="n">
        <f aca="false">IF(OR(E5="Closed",E5="Cancelled"),1,0)</f>
        <v>0</v>
      </c>
      <c r="N5" s="23" t="n">
        <f aca="false">K5*J5*L5</f>
        <v>30</v>
      </c>
    </row>
    <row r="6" customFormat="false" ht="15" hidden="false" customHeight="true" outlineLevel="0" collapsed="false">
      <c r="A6" s="20" t="s">
        <v>668</v>
      </c>
      <c r="B6" s="20" t="n">
        <v>3</v>
      </c>
      <c r="C6" s="20" t="str">
        <f aca="false">Tasks!A3</f>
        <v>WL Oct W1 Over-allocated (2 of 2) - Vishal workload</v>
      </c>
      <c r="D6" s="20" t="s">
        <v>39</v>
      </c>
      <c r="E6" s="20" t="str">
        <f aca="false">Tasks!C3</f>
        <v>In Progress</v>
      </c>
      <c r="F6" s="20" t="str">
        <f aca="false">Tasks!O3</f>
        <v>hrs/day</v>
      </c>
      <c r="G6" s="21" t="n">
        <v>4.5</v>
      </c>
      <c r="H6" s="22" t="n">
        <f aca="false">IF(Tasks!F3="","",DATE(RIGHT(Tasks!F3,4),MID(Tasks!F3,4,2),LEFT(Tasks!F3,2)))</f>
        <v>46300</v>
      </c>
      <c r="I6" s="22" t="n">
        <f aca="false">IF(Tasks!G3="","",DATE(RIGHT(Tasks!G3,4),MID(Tasks!G3,4,2),LEFT(Tasks!G3,2)))</f>
        <v>46304</v>
      </c>
      <c r="J6" s="20" t="n">
        <f aca="false">IF(H6="",0,NETWORKDAYS(H6,I6))</f>
        <v>5</v>
      </c>
      <c r="K6" s="23" t="n">
        <f aca="false">IF(OR(H6="",J6=0),0,IF(F6="hrs/day",G6,IF(F6="%/day",G6/100*$B$1,G6/J6)))</f>
        <v>4.5</v>
      </c>
      <c r="L6" s="20" t="n">
        <f aca="false">IF(A6="Previous import",$B$2,1)</f>
        <v>1</v>
      </c>
      <c r="M6" s="20" t="n">
        <f aca="false">IF(OR(E6="Closed",E6="Cancelled"),1,0)</f>
        <v>0</v>
      </c>
      <c r="N6" s="23" t="n">
        <f aca="false">K6*J6*L6</f>
        <v>22.5</v>
      </c>
    </row>
    <row r="7" customFormat="false" ht="15" hidden="false" customHeight="true" outlineLevel="0" collapsed="false">
      <c r="A7" s="20" t="s">
        <v>668</v>
      </c>
      <c r="B7" s="20" t="n">
        <v>4</v>
      </c>
      <c r="C7" s="20" t="str">
        <f aca="false">Tasks!A4</f>
        <v>WL Oct W2 Optimally allocated - Vishal workload</v>
      </c>
      <c r="D7" s="20" t="s">
        <v>39</v>
      </c>
      <c r="E7" s="20" t="str">
        <f aca="false">Tasks!C4</f>
        <v>In Review</v>
      </c>
      <c r="F7" s="20" t="str">
        <f aca="false">Tasks!O4</f>
        <v>hrs/day</v>
      </c>
      <c r="G7" s="21" t="n">
        <v>9</v>
      </c>
      <c r="H7" s="22" t="n">
        <f aca="false">IF(Tasks!F4="","",DATE(RIGHT(Tasks!F4,4),MID(Tasks!F4,4,2),LEFT(Tasks!F4,2)))</f>
        <v>46307</v>
      </c>
      <c r="I7" s="22" t="n">
        <f aca="false">IF(Tasks!G4="","",DATE(RIGHT(Tasks!G4,4),MID(Tasks!G4,4,2),LEFT(Tasks!G4,2)))</f>
        <v>46311</v>
      </c>
      <c r="J7" s="20" t="n">
        <f aca="false">IF(H7="",0,NETWORKDAYS(H7,I7))</f>
        <v>5</v>
      </c>
      <c r="K7" s="23" t="n">
        <f aca="false">IF(OR(H7="",J7=0),0,IF(F7="hrs/day",G7,IF(F7="%/day",G7/100*$B$1,G7/J7)))</f>
        <v>9</v>
      </c>
      <c r="L7" s="20" t="n">
        <f aca="false">IF(A7="Previous import",$B$2,1)</f>
        <v>1</v>
      </c>
      <c r="M7" s="20" t="n">
        <f aca="false">IF(OR(E7="Closed",E7="Cancelled"),1,0)</f>
        <v>0</v>
      </c>
      <c r="N7" s="23" t="n">
        <f aca="false">K7*J7*L7</f>
        <v>45</v>
      </c>
    </row>
    <row r="8" customFormat="false" ht="15" hidden="false" customHeight="true" outlineLevel="0" collapsed="false">
      <c r="A8" s="20" t="s">
        <v>668</v>
      </c>
      <c r="B8" s="20" t="n">
        <v>5</v>
      </c>
      <c r="C8" s="20" t="str">
        <f aca="false">Tasks!A5</f>
        <v>WL Oct W3 Under-allocated - Vishal workload</v>
      </c>
      <c r="D8" s="20" t="s">
        <v>39</v>
      </c>
      <c r="E8" s="20" t="str">
        <f aca="false">Tasks!C5</f>
        <v>To be Tested</v>
      </c>
      <c r="F8" s="20" t="str">
        <f aca="false">Tasks!O5</f>
        <v>hrs/day</v>
      </c>
      <c r="G8" s="21" t="n">
        <v>4.5</v>
      </c>
      <c r="H8" s="22" t="n">
        <f aca="false">IF(Tasks!F5="","",DATE(RIGHT(Tasks!F5,4),MID(Tasks!F5,4,2),LEFT(Tasks!F5,2)))</f>
        <v>46314</v>
      </c>
      <c r="I8" s="22" t="n">
        <f aca="false">IF(Tasks!G5="","",DATE(RIGHT(Tasks!G5,4),MID(Tasks!G5,4,2),LEFT(Tasks!G5,2)))</f>
        <v>46318</v>
      </c>
      <c r="J8" s="20" t="n">
        <f aca="false">IF(H8="",0,NETWORKDAYS(H8,I8))</f>
        <v>5</v>
      </c>
      <c r="K8" s="23" t="n">
        <f aca="false">IF(OR(H8="",J8=0),0,IF(F8="hrs/day",G8,IF(F8="%/day",G8/100*$B$1,G8/J8)))</f>
        <v>4.5</v>
      </c>
      <c r="L8" s="20" t="n">
        <f aca="false">IF(A8="Previous import",$B$2,1)</f>
        <v>1</v>
      </c>
      <c r="M8" s="20" t="n">
        <f aca="false">IF(OR(E8="Closed",E8="Cancelled"),1,0)</f>
        <v>0</v>
      </c>
      <c r="N8" s="23" t="n">
        <f aca="false">K8*J8*L8</f>
        <v>22.5</v>
      </c>
    </row>
    <row r="9" customFormat="false" ht="15" hidden="false" customHeight="true" outlineLevel="0" collapsed="false">
      <c r="A9" s="20" t="s">
        <v>668</v>
      </c>
      <c r="B9" s="20" t="n">
        <v>6</v>
      </c>
      <c r="C9" s="20" t="str">
        <f aca="false">Tasks!A6</f>
        <v>WL Nov W1 Optimally allocated - Vishal workload</v>
      </c>
      <c r="D9" s="20" t="s">
        <v>39</v>
      </c>
      <c r="E9" s="20" t="str">
        <f aca="false">Tasks!C6</f>
        <v>On Hold</v>
      </c>
      <c r="F9" s="20" t="str">
        <f aca="false">Tasks!O6</f>
        <v>hrs</v>
      </c>
      <c r="G9" s="21" t="n">
        <v>45</v>
      </c>
      <c r="H9" s="22" t="n">
        <f aca="false">IF(Tasks!F6="","",DATE(RIGHT(Tasks!F6,4),MID(Tasks!F6,4,2),LEFT(Tasks!F6,2)))</f>
        <v>46328</v>
      </c>
      <c r="I9" s="22" t="n">
        <f aca="false">IF(Tasks!G6="","",DATE(RIGHT(Tasks!G6,4),MID(Tasks!G6,4,2),LEFT(Tasks!G6,2)))</f>
        <v>46332</v>
      </c>
      <c r="J9" s="20" t="n">
        <f aca="false">IF(H9="",0,NETWORKDAYS(H9,I9))</f>
        <v>5</v>
      </c>
      <c r="K9" s="23" t="n">
        <f aca="false">IF(OR(H9="",J9=0),0,IF(F9="hrs/day",G9,IF(F9="%/day",G9/100*$B$1,G9/J9)))</f>
        <v>9</v>
      </c>
      <c r="L9" s="20" t="n">
        <f aca="false">IF(A9="Previous import",$B$2,1)</f>
        <v>1</v>
      </c>
      <c r="M9" s="20" t="n">
        <f aca="false">IF(OR(E9="Closed",E9="Cancelled"),1,0)</f>
        <v>0</v>
      </c>
      <c r="N9" s="23" t="n">
        <f aca="false">K9*J9*L9</f>
        <v>45</v>
      </c>
    </row>
    <row r="10" customFormat="false" ht="15" hidden="false" customHeight="true" outlineLevel="0" collapsed="false">
      <c r="A10" s="20" t="s">
        <v>668</v>
      </c>
      <c r="B10" s="20" t="n">
        <v>7</v>
      </c>
      <c r="C10" s="20" t="str">
        <f aca="false">Tasks!A7</f>
        <v>WL Nov W2 Under-allocated - Vishal workload</v>
      </c>
      <c r="D10" s="20" t="s">
        <v>39</v>
      </c>
      <c r="E10" s="20" t="str">
        <f aca="false">Tasks!C7</f>
        <v>Delayed</v>
      </c>
      <c r="F10" s="20" t="str">
        <f aca="false">Tasks!O7</f>
        <v>hrs/day</v>
      </c>
      <c r="G10" s="21" t="n">
        <v>8.5</v>
      </c>
      <c r="H10" s="22" t="n">
        <f aca="false">IF(Tasks!F7="","",DATE(RIGHT(Tasks!F7,4),MID(Tasks!F7,4,2),LEFT(Tasks!F7,2)))</f>
        <v>46335</v>
      </c>
      <c r="I10" s="22" t="n">
        <f aca="false">IF(Tasks!G7="","",DATE(RIGHT(Tasks!G7,4),MID(Tasks!G7,4,2),LEFT(Tasks!G7,2)))</f>
        <v>46339</v>
      </c>
      <c r="J10" s="20" t="n">
        <f aca="false">IF(H10="",0,NETWORKDAYS(H10,I10))</f>
        <v>5</v>
      </c>
      <c r="K10" s="23" t="n">
        <f aca="false">IF(OR(H10="",J10=0),0,IF(F10="hrs/day",G10,IF(F10="%/day",G10/100*$B$1,G10/J10)))</f>
        <v>8.5</v>
      </c>
      <c r="L10" s="20" t="n">
        <f aca="false">IF(A10="Previous import",$B$2,1)</f>
        <v>1</v>
      </c>
      <c r="M10" s="20" t="n">
        <f aca="false">IF(OR(E10="Closed",E10="Cancelled"),1,0)</f>
        <v>0</v>
      </c>
      <c r="N10" s="23" t="n">
        <f aca="false">K10*J10*L10</f>
        <v>42.5</v>
      </c>
    </row>
    <row r="11" customFormat="false" ht="15" hidden="false" customHeight="true" outlineLevel="0" collapsed="false">
      <c r="A11" s="20" t="s">
        <v>668</v>
      </c>
      <c r="B11" s="20" t="n">
        <v>8</v>
      </c>
      <c r="C11" s="20" t="str">
        <f aca="false">Tasks!A8</f>
        <v>WL Nov W3 Unallocated - Vishal workload</v>
      </c>
      <c r="D11" s="20" t="s">
        <v>39</v>
      </c>
      <c r="E11" s="20" t="str">
        <f aca="false">Tasks!C8</f>
        <v>Closed</v>
      </c>
      <c r="F11" s="20" t="str">
        <f aca="false">Tasks!O8</f>
        <v>hrs/day</v>
      </c>
      <c r="G11" s="21" t="n">
        <v>0</v>
      </c>
      <c r="H11" s="22" t="n">
        <f aca="false">IF(Tasks!F8="","",DATE(RIGHT(Tasks!F8,4),MID(Tasks!F8,4,2),LEFT(Tasks!F8,2)))</f>
        <v>46342</v>
      </c>
      <c r="I11" s="22" t="n">
        <f aca="false">IF(Tasks!G8="","",DATE(RIGHT(Tasks!G8,4),MID(Tasks!G8,4,2),LEFT(Tasks!G8,2)))</f>
        <v>46346</v>
      </c>
      <c r="J11" s="20" t="n">
        <f aca="false">IF(H11="",0,NETWORKDAYS(H11,I11))</f>
        <v>5</v>
      </c>
      <c r="K11" s="23" t="n">
        <f aca="false">IF(OR(H11="",J11=0),0,IF(F11="hrs/day",G11,IF(F11="%/day",G11/100*$B$1,G11/J11)))</f>
        <v>0</v>
      </c>
      <c r="L11" s="20" t="n">
        <f aca="false">IF(A11="Previous import",$B$2,1)</f>
        <v>1</v>
      </c>
      <c r="M11" s="20" t="n">
        <f aca="false">IF(OR(E11="Closed",E11="Cancelled"),1,0)</f>
        <v>1</v>
      </c>
      <c r="N11" s="23" t="n">
        <f aca="false">K11*J11*L11</f>
        <v>0</v>
      </c>
    </row>
    <row r="12" customFormat="false" ht="15" hidden="false" customHeight="true" outlineLevel="0" collapsed="false">
      <c r="A12" s="20" t="s">
        <v>668</v>
      </c>
      <c r="B12" s="20" t="n">
        <v>9</v>
      </c>
      <c r="C12" s="20" t="str">
        <f aca="false">Tasks!A9</f>
        <v>WL Nov W4 Over-allocated (1 of 2) - Vishal workload</v>
      </c>
      <c r="D12" s="20" t="s">
        <v>39</v>
      </c>
      <c r="E12" s="20" t="str">
        <f aca="false">Tasks!C9</f>
        <v>Cancelled</v>
      </c>
      <c r="F12" s="20" t="str">
        <f aca="false">Tasks!O9</f>
        <v>hrs/day</v>
      </c>
      <c r="G12" s="21" t="n">
        <v>5</v>
      </c>
      <c r="H12" s="22" t="n">
        <f aca="false">IF(Tasks!F9="","",DATE(RIGHT(Tasks!F9,4),MID(Tasks!F9,4,2),LEFT(Tasks!F9,2)))</f>
        <v>46349</v>
      </c>
      <c r="I12" s="22" t="n">
        <f aca="false">IF(Tasks!G9="","",DATE(RIGHT(Tasks!G9,4),MID(Tasks!G9,4,2),LEFT(Tasks!G9,2)))</f>
        <v>46353</v>
      </c>
      <c r="J12" s="20" t="n">
        <f aca="false">IF(H12="",0,NETWORKDAYS(H12,I12))</f>
        <v>5</v>
      </c>
      <c r="K12" s="23" t="n">
        <f aca="false">IF(OR(H12="",J12=0),0,IF(F12="hrs/day",G12,IF(F12="%/day",G12/100*$B$1,G12/J12)))</f>
        <v>5</v>
      </c>
      <c r="L12" s="20" t="n">
        <f aca="false">IF(A12="Previous import",$B$2,1)</f>
        <v>1</v>
      </c>
      <c r="M12" s="20" t="n">
        <f aca="false">IF(OR(E12="Closed",E12="Cancelled"),1,0)</f>
        <v>1</v>
      </c>
      <c r="N12" s="23" t="n">
        <f aca="false">K12*J12*L12</f>
        <v>25</v>
      </c>
    </row>
    <row r="13" customFormat="false" ht="15" hidden="false" customHeight="true" outlineLevel="0" collapsed="false">
      <c r="A13" s="20" t="s">
        <v>668</v>
      </c>
      <c r="B13" s="20" t="n">
        <v>10</v>
      </c>
      <c r="C13" s="20" t="str">
        <f aca="false">Tasks!A10</f>
        <v>WL Nov W4 Over-allocated (2 of 2) - Vishal workload</v>
      </c>
      <c r="D13" s="20" t="s">
        <v>39</v>
      </c>
      <c r="E13" s="20" t="str">
        <f aca="false">Tasks!C10</f>
        <v>Open</v>
      </c>
      <c r="F13" s="20" t="str">
        <f aca="false">Tasks!O10</f>
        <v>%/day</v>
      </c>
      <c r="G13" s="21" t="n">
        <v>50</v>
      </c>
      <c r="H13" s="22" t="n">
        <f aca="false">IF(Tasks!F10="","",DATE(RIGHT(Tasks!F10,4),MID(Tasks!F10,4,2),LEFT(Tasks!F10,2)))</f>
        <v>46349</v>
      </c>
      <c r="I13" s="22" t="n">
        <f aca="false">IF(Tasks!G10="","",DATE(RIGHT(Tasks!G10,4),MID(Tasks!G10,4,2),LEFT(Tasks!G10,2)))</f>
        <v>46353</v>
      </c>
      <c r="J13" s="20" t="n">
        <f aca="false">IF(H13="",0,NETWORKDAYS(H13,I13))</f>
        <v>5</v>
      </c>
      <c r="K13" s="23" t="n">
        <f aca="false">IF(OR(H13="",J13=0),0,IF(F13="hrs/day",G13,IF(F13="%/day",G13/100*$B$1,G13/J13)))</f>
        <v>4.5</v>
      </c>
      <c r="L13" s="20" t="n">
        <f aca="false">IF(A13="Previous import",$B$2,1)</f>
        <v>1</v>
      </c>
      <c r="M13" s="20" t="n">
        <f aca="false">IF(OR(E13="Closed",E13="Cancelled"),1,0)</f>
        <v>0</v>
      </c>
      <c r="N13" s="23" t="n">
        <f aca="false">K13*J13*L13</f>
        <v>22.5</v>
      </c>
    </row>
    <row r="14" customFormat="false" ht="15" hidden="false" customHeight="true" outlineLevel="0" collapsed="false">
      <c r="A14" s="20" t="s">
        <v>668</v>
      </c>
      <c r="B14" s="20" t="n">
        <v>11</v>
      </c>
      <c r="C14" s="20" t="str">
        <f aca="false">Tasks!A11</f>
        <v>WL Dec W1 Under-allocated - Vishal workload</v>
      </c>
      <c r="D14" s="20" t="s">
        <v>39</v>
      </c>
      <c r="E14" s="20" t="str">
        <f aca="false">Tasks!C11</f>
        <v>In Progress</v>
      </c>
      <c r="F14" s="20" t="str">
        <f aca="false">Tasks!O11</f>
        <v>hrs</v>
      </c>
      <c r="G14" s="21" t="n">
        <v>15</v>
      </c>
      <c r="H14" s="22" t="n">
        <f aca="false">IF(Tasks!F11="","",DATE(RIGHT(Tasks!F11,4),MID(Tasks!F11,4,2),LEFT(Tasks!F11,2)))</f>
        <v>46363</v>
      </c>
      <c r="I14" s="22" t="n">
        <f aca="false">IF(Tasks!G11="","",DATE(RIGHT(Tasks!G11,4),MID(Tasks!G11,4,2),LEFT(Tasks!G11,2)))</f>
        <v>46367</v>
      </c>
      <c r="J14" s="20" t="n">
        <f aca="false">IF(H14="",0,NETWORKDAYS(H14,I14))</f>
        <v>5</v>
      </c>
      <c r="K14" s="23" t="n">
        <f aca="false">IF(OR(H14="",J14=0),0,IF(F14="hrs/day",G14,IF(F14="%/day",G14/100*$B$1,G14/J14)))</f>
        <v>3</v>
      </c>
      <c r="L14" s="20" t="n">
        <f aca="false">IF(A14="Previous import",$B$2,1)</f>
        <v>1</v>
      </c>
      <c r="M14" s="20" t="n">
        <f aca="false">IF(OR(E14="Closed",E14="Cancelled"),1,0)</f>
        <v>0</v>
      </c>
      <c r="N14" s="23" t="n">
        <f aca="false">K14*J14*L14</f>
        <v>15</v>
      </c>
    </row>
    <row r="15" customFormat="false" ht="15" hidden="false" customHeight="true" outlineLevel="0" collapsed="false">
      <c r="A15" s="20" t="s">
        <v>668</v>
      </c>
      <c r="B15" s="20" t="n">
        <v>12</v>
      </c>
      <c r="C15" s="20" t="str">
        <f aca="false">Tasks!A12</f>
        <v>WL Dec W3 Over-allocated - Vishal workload</v>
      </c>
      <c r="D15" s="20" t="s">
        <v>39</v>
      </c>
      <c r="E15" s="20" t="str">
        <f aca="false">Tasks!C12</f>
        <v>In Review</v>
      </c>
      <c r="F15" s="20" t="str">
        <f aca="false">Tasks!O12</f>
        <v>hrs</v>
      </c>
      <c r="G15" s="21" t="n">
        <v>60</v>
      </c>
      <c r="H15" s="22" t="n">
        <f aca="false">IF(Tasks!F12="","",DATE(RIGHT(Tasks!F12,4),MID(Tasks!F12,4,2),LEFT(Tasks!F12,2)))</f>
        <v>46377</v>
      </c>
      <c r="I15" s="22" t="n">
        <f aca="false">IF(Tasks!G12="","",DATE(RIGHT(Tasks!G12,4),MID(Tasks!G12,4,2),LEFT(Tasks!G12,2)))</f>
        <v>46381</v>
      </c>
      <c r="J15" s="20" t="n">
        <f aca="false">IF(H15="",0,NETWORKDAYS(H15,I15))</f>
        <v>5</v>
      </c>
      <c r="K15" s="23" t="n">
        <f aca="false">IF(OR(H15="",J15=0),0,IF(F15="hrs/day",G15,IF(F15="%/day",G15/100*$B$1,G15/J15)))</f>
        <v>12</v>
      </c>
      <c r="L15" s="20" t="n">
        <f aca="false">IF(A15="Previous import",$B$2,1)</f>
        <v>1</v>
      </c>
      <c r="M15" s="20" t="n">
        <f aca="false">IF(OR(E15="Closed",E15="Cancelled"),1,0)</f>
        <v>0</v>
      </c>
      <c r="N15" s="23" t="n">
        <f aca="false">K15*J15*L15</f>
        <v>60</v>
      </c>
    </row>
    <row r="16" customFormat="false" ht="15" hidden="false" customHeight="true" outlineLevel="0" collapsed="false">
      <c r="A16" s="20" t="s">
        <v>668</v>
      </c>
      <c r="B16" s="20" t="n">
        <v>13</v>
      </c>
      <c r="C16" s="20" t="str">
        <f aca="false">Tasks!A13</f>
        <v>WL Dec W4 Optimally allocated (1 of 2) - Vishal workload</v>
      </c>
      <c r="D16" s="20" t="s">
        <v>39</v>
      </c>
      <c r="E16" s="20" t="str">
        <f aca="false">Tasks!C13</f>
        <v>To be Tested</v>
      </c>
      <c r="F16" s="20" t="str">
        <f aca="false">Tasks!O13</f>
        <v>hrs</v>
      </c>
      <c r="G16" s="21" t="n">
        <v>18</v>
      </c>
      <c r="H16" s="22" t="n">
        <f aca="false">IF(Tasks!F13="","",DATE(RIGHT(Tasks!F13,4),MID(Tasks!F13,4,2),LEFT(Tasks!F13,2)))</f>
        <v>46384</v>
      </c>
      <c r="I16" s="22" t="n">
        <f aca="false">IF(Tasks!G13="","",DATE(RIGHT(Tasks!G13,4),MID(Tasks!G13,4,2),LEFT(Tasks!G13,2)))</f>
        <v>46387</v>
      </c>
      <c r="J16" s="20" t="n">
        <f aca="false">IF(H16="",0,NETWORKDAYS(H16,I16))</f>
        <v>4</v>
      </c>
      <c r="K16" s="23" t="n">
        <f aca="false">IF(OR(H16="",J16=0),0,IF(F16="hrs/day",G16,IF(F16="%/day",G16/100*$B$1,G16/J16)))</f>
        <v>4.5</v>
      </c>
      <c r="L16" s="20" t="n">
        <f aca="false">IF(A16="Previous import",$B$2,1)</f>
        <v>1</v>
      </c>
      <c r="M16" s="20" t="n">
        <f aca="false">IF(OR(E16="Closed",E16="Cancelled"),1,0)</f>
        <v>0</v>
      </c>
      <c r="N16" s="23" t="n">
        <f aca="false">K16*J16*L16</f>
        <v>18</v>
      </c>
    </row>
    <row r="17" customFormat="false" ht="15" hidden="false" customHeight="true" outlineLevel="0" collapsed="false">
      <c r="A17" s="20" t="s">
        <v>668</v>
      </c>
      <c r="B17" s="20" t="n">
        <v>14</v>
      </c>
      <c r="C17" s="20" t="str">
        <f aca="false">Tasks!A14</f>
        <v>WL Dec W4 Optimally allocated (2 of 2) - Vishal workload</v>
      </c>
      <c r="D17" s="20" t="s">
        <v>39</v>
      </c>
      <c r="E17" s="20" t="str">
        <f aca="false">Tasks!C14</f>
        <v>On Hold</v>
      </c>
      <c r="F17" s="20" t="str">
        <f aca="false">Tasks!O14</f>
        <v>hrs/day</v>
      </c>
      <c r="G17" s="21" t="n">
        <v>4.5</v>
      </c>
      <c r="H17" s="22" t="n">
        <f aca="false">IF(Tasks!F14="","",DATE(RIGHT(Tasks!F14,4),MID(Tasks!F14,4,2),LEFT(Tasks!F14,2)))</f>
        <v>46384</v>
      </c>
      <c r="I17" s="22" t="n">
        <f aca="false">IF(Tasks!G14="","",DATE(RIGHT(Tasks!G14,4),MID(Tasks!G14,4,2),LEFT(Tasks!G14,2)))</f>
        <v>46387</v>
      </c>
      <c r="J17" s="20" t="n">
        <f aca="false">IF(H17="",0,NETWORKDAYS(H17,I17))</f>
        <v>4</v>
      </c>
      <c r="K17" s="23" t="n">
        <f aca="false">IF(OR(H17="",J17=0),0,IF(F17="hrs/day",G17,IF(F17="%/day",G17/100*$B$1,G17/J17)))</f>
        <v>4.5</v>
      </c>
      <c r="L17" s="20" t="n">
        <f aca="false">IF(A17="Previous import",$B$2,1)</f>
        <v>1</v>
      </c>
      <c r="M17" s="20" t="n">
        <f aca="false">IF(OR(E17="Closed",E17="Cancelled"),1,0)</f>
        <v>0</v>
      </c>
      <c r="N17" s="23" t="n">
        <f aca="false">K17*J17*L17</f>
        <v>18</v>
      </c>
    </row>
    <row r="18" customFormat="false" ht="15" hidden="false" customHeight="true" outlineLevel="0" collapsed="false">
      <c r="A18" s="20" t="s">
        <v>668</v>
      </c>
      <c r="B18" s="20" t="n">
        <v>15</v>
      </c>
      <c r="C18" s="20" t="str">
        <f aca="false">Tasks!A15</f>
        <v>WL Oct W1 Optimally allocated - Vishal PLAdmin</v>
      </c>
      <c r="D18" s="20" t="s">
        <v>94</v>
      </c>
      <c r="E18" s="20" t="str">
        <f aca="false">Tasks!C15</f>
        <v>Delayed</v>
      </c>
      <c r="F18" s="20" t="str">
        <f aca="false">Tasks!O15</f>
        <v>%/day</v>
      </c>
      <c r="G18" s="21" t="n">
        <v>100</v>
      </c>
      <c r="H18" s="22" t="n">
        <f aca="false">IF(Tasks!F15="","",DATE(RIGHT(Tasks!F15,4),MID(Tasks!F15,4,2),LEFT(Tasks!F15,2)))</f>
        <v>46300</v>
      </c>
      <c r="I18" s="22" t="n">
        <f aca="false">IF(Tasks!G15="","",DATE(RIGHT(Tasks!G15,4),MID(Tasks!G15,4,2),LEFT(Tasks!G15,2)))</f>
        <v>46304</v>
      </c>
      <c r="J18" s="20" t="n">
        <f aca="false">IF(H18="",0,NETWORKDAYS(H18,I18))</f>
        <v>5</v>
      </c>
      <c r="K18" s="23" t="n">
        <f aca="false">IF(OR(H18="",J18=0),0,IF(F18="hrs/day",G18,IF(F18="%/day",G18/100*$B$1,G18/J18)))</f>
        <v>9</v>
      </c>
      <c r="L18" s="20" t="n">
        <f aca="false">IF(A18="Previous import",$B$2,1)</f>
        <v>1</v>
      </c>
      <c r="M18" s="20" t="n">
        <f aca="false">IF(OR(E18="Closed",E18="Cancelled"),1,0)</f>
        <v>0</v>
      </c>
      <c r="N18" s="23" t="n">
        <f aca="false">K18*J18*L18</f>
        <v>45</v>
      </c>
    </row>
    <row r="19" customFormat="false" ht="15" hidden="false" customHeight="true" outlineLevel="0" collapsed="false">
      <c r="A19" s="20" t="s">
        <v>668</v>
      </c>
      <c r="B19" s="20" t="n">
        <v>16</v>
      </c>
      <c r="C19" s="20" t="str">
        <f aca="false">Tasks!A16</f>
        <v>WL Oct W2 Under-allocated - Vishal PLAdmin</v>
      </c>
      <c r="D19" s="20" t="s">
        <v>94</v>
      </c>
      <c r="E19" s="20" t="str">
        <f aca="false">Tasks!C16</f>
        <v>Closed</v>
      </c>
      <c r="F19" s="20" t="str">
        <f aca="false">Tasks!O16</f>
        <v>%/day</v>
      </c>
      <c r="G19" s="21" t="n">
        <v>25</v>
      </c>
      <c r="H19" s="22" t="n">
        <f aca="false">IF(Tasks!F16="","",DATE(RIGHT(Tasks!F16,4),MID(Tasks!F16,4,2),LEFT(Tasks!F16,2)))</f>
        <v>46307</v>
      </c>
      <c r="I19" s="22" t="n">
        <f aca="false">IF(Tasks!G16="","",DATE(RIGHT(Tasks!G16,4),MID(Tasks!G16,4,2),LEFT(Tasks!G16,2)))</f>
        <v>46311</v>
      </c>
      <c r="J19" s="20" t="n">
        <f aca="false">IF(H19="",0,NETWORKDAYS(H19,I19))</f>
        <v>5</v>
      </c>
      <c r="K19" s="23" t="n">
        <f aca="false">IF(OR(H19="",J19=0),0,IF(F19="hrs/day",G19,IF(F19="%/day",G19/100*$B$1,G19/J19)))</f>
        <v>2.25</v>
      </c>
      <c r="L19" s="20" t="n">
        <f aca="false">IF(A19="Previous import",$B$2,1)</f>
        <v>1</v>
      </c>
      <c r="M19" s="20" t="n">
        <f aca="false">IF(OR(E19="Closed",E19="Cancelled"),1,0)</f>
        <v>1</v>
      </c>
      <c r="N19" s="23" t="n">
        <f aca="false">K19*J19*L19</f>
        <v>11.25</v>
      </c>
    </row>
    <row r="20" customFormat="false" ht="15" hidden="false" customHeight="true" outlineLevel="0" collapsed="false">
      <c r="A20" s="20" t="s">
        <v>668</v>
      </c>
      <c r="B20" s="20" t="n">
        <v>17</v>
      </c>
      <c r="C20" s="20" t="str">
        <f aca="false">Tasks!A17</f>
        <v>WL Oct W4 Over-allocated - Vishal PLAdmin</v>
      </c>
      <c r="D20" s="20" t="s">
        <v>94</v>
      </c>
      <c r="E20" s="20" t="str">
        <f aca="false">Tasks!C17</f>
        <v>Cancelled</v>
      </c>
      <c r="F20" s="20" t="str">
        <f aca="false">Tasks!O17</f>
        <v>%/day</v>
      </c>
      <c r="G20" s="21" t="n">
        <v>150</v>
      </c>
      <c r="H20" s="22" t="n">
        <f aca="false">IF(Tasks!F17="","",DATE(RIGHT(Tasks!F17,4),MID(Tasks!F17,4,2),LEFT(Tasks!F17,2)))</f>
        <v>46321</v>
      </c>
      <c r="I20" s="22" t="n">
        <f aca="false">IF(Tasks!G17="","",DATE(RIGHT(Tasks!G17,4),MID(Tasks!G17,4,2),LEFT(Tasks!G17,2)))</f>
        <v>46325</v>
      </c>
      <c r="J20" s="20" t="n">
        <f aca="false">IF(H20="",0,NETWORKDAYS(H20,I20))</f>
        <v>5</v>
      </c>
      <c r="K20" s="23" t="n">
        <f aca="false">IF(OR(H20="",J20=0),0,IF(F20="hrs/day",G20,IF(F20="%/day",G20/100*$B$1,G20/J20)))</f>
        <v>13.5</v>
      </c>
      <c r="L20" s="20" t="n">
        <f aca="false">IF(A20="Previous import",$B$2,1)</f>
        <v>1</v>
      </c>
      <c r="M20" s="20" t="n">
        <f aca="false">IF(OR(E20="Closed",E20="Cancelled"),1,0)</f>
        <v>1</v>
      </c>
      <c r="N20" s="23" t="n">
        <f aca="false">K20*J20*L20</f>
        <v>67.5</v>
      </c>
    </row>
    <row r="21" customFormat="false" ht="15" hidden="false" customHeight="true" outlineLevel="0" collapsed="false">
      <c r="A21" s="20" t="s">
        <v>668</v>
      </c>
      <c r="B21" s="20" t="n">
        <v>18</v>
      </c>
      <c r="C21" s="20" t="str">
        <f aca="false">Tasks!A18</f>
        <v>WL Nov W1 Under-allocated - Vishal PLAdmin</v>
      </c>
      <c r="D21" s="20" t="s">
        <v>94</v>
      </c>
      <c r="E21" s="20" t="str">
        <f aca="false">Tasks!C18</f>
        <v>Open</v>
      </c>
      <c r="F21" s="20" t="str">
        <f aca="false">Tasks!O18</f>
        <v>hrs/day</v>
      </c>
      <c r="G21" s="21" t="n">
        <v>4.5</v>
      </c>
      <c r="H21" s="22" t="n">
        <f aca="false">IF(Tasks!F18="","",DATE(RIGHT(Tasks!F18,4),MID(Tasks!F18,4,2),LEFT(Tasks!F18,2)))</f>
        <v>46328</v>
      </c>
      <c r="I21" s="22" t="n">
        <f aca="false">IF(Tasks!G18="","",DATE(RIGHT(Tasks!G18,4),MID(Tasks!G18,4,2),LEFT(Tasks!G18,2)))</f>
        <v>46332</v>
      </c>
      <c r="J21" s="20" t="n">
        <f aca="false">IF(H21="",0,NETWORKDAYS(H21,I21))</f>
        <v>5</v>
      </c>
      <c r="K21" s="23" t="n">
        <f aca="false">IF(OR(H21="",J21=0),0,IF(F21="hrs/day",G21,IF(F21="%/day",G21/100*$B$1,G21/J21)))</f>
        <v>4.5</v>
      </c>
      <c r="L21" s="20" t="n">
        <f aca="false">IF(A21="Previous import",$B$2,1)</f>
        <v>1</v>
      </c>
      <c r="M21" s="20" t="n">
        <f aca="false">IF(OR(E21="Closed",E21="Cancelled"),1,0)</f>
        <v>0</v>
      </c>
      <c r="N21" s="23" t="n">
        <f aca="false">K21*J21*L21</f>
        <v>22.5</v>
      </c>
    </row>
    <row r="22" customFormat="false" ht="15" hidden="false" customHeight="true" outlineLevel="0" collapsed="false">
      <c r="A22" s="20" t="s">
        <v>668</v>
      </c>
      <c r="B22" s="20" t="n">
        <v>19</v>
      </c>
      <c r="C22" s="20" t="str">
        <f aca="false">Tasks!A19</f>
        <v>WL Nov W3 Over-allocated (1 of 2) - Vishal PLAdmin</v>
      </c>
      <c r="D22" s="20" t="s">
        <v>94</v>
      </c>
      <c r="E22" s="20" t="str">
        <f aca="false">Tasks!C19</f>
        <v>In Progress</v>
      </c>
      <c r="F22" s="20" t="str">
        <f aca="false">Tasks!O19</f>
        <v>hrs/day</v>
      </c>
      <c r="G22" s="21" t="n">
        <v>6</v>
      </c>
      <c r="H22" s="22" t="n">
        <f aca="false">IF(Tasks!F19="","",DATE(RIGHT(Tasks!F19,4),MID(Tasks!F19,4,2),LEFT(Tasks!F19,2)))</f>
        <v>46342</v>
      </c>
      <c r="I22" s="22" t="n">
        <f aca="false">IF(Tasks!G19="","",DATE(RIGHT(Tasks!G19,4),MID(Tasks!G19,4,2),LEFT(Tasks!G19,2)))</f>
        <v>46346</v>
      </c>
      <c r="J22" s="20" t="n">
        <f aca="false">IF(H22="",0,NETWORKDAYS(H22,I22))</f>
        <v>5</v>
      </c>
      <c r="K22" s="23" t="n">
        <f aca="false">IF(OR(H22="",J22=0),0,IF(F22="hrs/day",G22,IF(F22="%/day",G22/100*$B$1,G22/J22)))</f>
        <v>6</v>
      </c>
      <c r="L22" s="20" t="n">
        <f aca="false">IF(A22="Previous import",$B$2,1)</f>
        <v>1</v>
      </c>
      <c r="M22" s="20" t="n">
        <f aca="false">IF(OR(E22="Closed",E22="Cancelled"),1,0)</f>
        <v>0</v>
      </c>
      <c r="N22" s="23" t="n">
        <f aca="false">K22*J22*L22</f>
        <v>30</v>
      </c>
    </row>
    <row r="23" customFormat="false" ht="15" hidden="false" customHeight="true" outlineLevel="0" collapsed="false">
      <c r="A23" s="20" t="s">
        <v>668</v>
      </c>
      <c r="B23" s="20" t="n">
        <v>20</v>
      </c>
      <c r="C23" s="20" t="str">
        <f aca="false">Tasks!A20</f>
        <v>WL Nov W3 Over-allocated (2 of 2) - Vishal PLAdmin</v>
      </c>
      <c r="D23" s="20" t="s">
        <v>94</v>
      </c>
      <c r="E23" s="20" t="str">
        <f aca="false">Tasks!C20</f>
        <v>In Review</v>
      </c>
      <c r="F23" s="20" t="str">
        <f aca="false">Tasks!O20</f>
        <v>hrs/day</v>
      </c>
      <c r="G23" s="21" t="n">
        <v>4.5</v>
      </c>
      <c r="H23" s="22" t="n">
        <f aca="false">IF(Tasks!F20="","",DATE(RIGHT(Tasks!F20,4),MID(Tasks!F20,4,2),LEFT(Tasks!F20,2)))</f>
        <v>46342</v>
      </c>
      <c r="I23" s="22" t="n">
        <f aca="false">IF(Tasks!G20="","",DATE(RIGHT(Tasks!G20,4),MID(Tasks!G20,4,2),LEFT(Tasks!G20,2)))</f>
        <v>46346</v>
      </c>
      <c r="J23" s="20" t="n">
        <f aca="false">IF(H23="",0,NETWORKDAYS(H23,I23))</f>
        <v>5</v>
      </c>
      <c r="K23" s="23" t="n">
        <f aca="false">IF(OR(H23="",J23=0),0,IF(F23="hrs/day",G23,IF(F23="%/day",G23/100*$B$1,G23/J23)))</f>
        <v>4.5</v>
      </c>
      <c r="L23" s="20" t="n">
        <f aca="false">IF(A23="Previous import",$B$2,1)</f>
        <v>1</v>
      </c>
      <c r="M23" s="20" t="n">
        <f aca="false">IF(OR(E23="Closed",E23="Cancelled"),1,0)</f>
        <v>0</v>
      </c>
      <c r="N23" s="23" t="n">
        <f aca="false">K23*J23*L23</f>
        <v>22.5</v>
      </c>
    </row>
    <row r="24" customFormat="false" ht="15" hidden="false" customHeight="true" outlineLevel="0" collapsed="false">
      <c r="A24" s="20" t="s">
        <v>668</v>
      </c>
      <c r="B24" s="20" t="n">
        <v>21</v>
      </c>
      <c r="C24" s="20" t="str">
        <f aca="false">Tasks!A21</f>
        <v>WL Nov W4 Optimally allocated - Vishal PLAdmin</v>
      </c>
      <c r="D24" s="20" t="s">
        <v>94</v>
      </c>
      <c r="E24" s="20" t="str">
        <f aca="false">Tasks!C21</f>
        <v>To be Tested</v>
      </c>
      <c r="F24" s="20" t="str">
        <f aca="false">Tasks!O21</f>
        <v>hrs/day</v>
      </c>
      <c r="G24" s="21" t="n">
        <v>9</v>
      </c>
      <c r="H24" s="22" t="n">
        <f aca="false">IF(Tasks!F21="","",DATE(RIGHT(Tasks!F21,4),MID(Tasks!F21,4,2),LEFT(Tasks!F21,2)))</f>
        <v>46349</v>
      </c>
      <c r="I24" s="22" t="n">
        <f aca="false">IF(Tasks!G21="","",DATE(RIGHT(Tasks!G21,4),MID(Tasks!G21,4,2),LEFT(Tasks!G21,2)))</f>
        <v>46353</v>
      </c>
      <c r="J24" s="20" t="n">
        <f aca="false">IF(H24="",0,NETWORKDAYS(H24,I24))</f>
        <v>5</v>
      </c>
      <c r="K24" s="23" t="n">
        <f aca="false">IF(OR(H24="",J24=0),0,IF(F24="hrs/day",G24,IF(F24="%/day",G24/100*$B$1,G24/J24)))</f>
        <v>9</v>
      </c>
      <c r="L24" s="20" t="n">
        <f aca="false">IF(A24="Previous import",$B$2,1)</f>
        <v>1</v>
      </c>
      <c r="M24" s="20" t="n">
        <f aca="false">IF(OR(E24="Closed",E24="Cancelled"),1,0)</f>
        <v>0</v>
      </c>
      <c r="N24" s="23" t="n">
        <f aca="false">K24*J24*L24</f>
        <v>45</v>
      </c>
    </row>
    <row r="25" customFormat="false" ht="15" hidden="false" customHeight="true" outlineLevel="0" collapsed="false">
      <c r="A25" s="20" t="s">
        <v>668</v>
      </c>
      <c r="B25" s="20" t="n">
        <v>22</v>
      </c>
      <c r="C25" s="20" t="str">
        <f aca="false">Tasks!A22</f>
        <v>WL Dec W1 Unallocated - Vishal PLAdmin</v>
      </c>
      <c r="D25" s="20" t="s">
        <v>94</v>
      </c>
      <c r="E25" s="20" t="str">
        <f aca="false">Tasks!C22</f>
        <v>On Hold</v>
      </c>
      <c r="F25" s="20" t="str">
        <f aca="false">Tasks!O22</f>
        <v>hrs/day</v>
      </c>
      <c r="G25" s="21" t="n">
        <v>0</v>
      </c>
      <c r="H25" s="22" t="n">
        <f aca="false">IF(Tasks!F22="","",DATE(RIGHT(Tasks!F22,4),MID(Tasks!F22,4,2),LEFT(Tasks!F22,2)))</f>
        <v>46363</v>
      </c>
      <c r="I25" s="22" t="n">
        <f aca="false">IF(Tasks!G22="","",DATE(RIGHT(Tasks!G22,4),MID(Tasks!G22,4,2),LEFT(Tasks!G22,2)))</f>
        <v>46367</v>
      </c>
      <c r="J25" s="20" t="n">
        <f aca="false">IF(H25="",0,NETWORKDAYS(H25,I25))</f>
        <v>5</v>
      </c>
      <c r="K25" s="23" t="n">
        <f aca="false">IF(OR(H25="",J25=0),0,IF(F25="hrs/day",G25,IF(F25="%/day",G25/100*$B$1,G25/J25)))</f>
        <v>0</v>
      </c>
      <c r="L25" s="20" t="n">
        <f aca="false">IF(A25="Previous import",$B$2,1)</f>
        <v>1</v>
      </c>
      <c r="M25" s="20" t="n">
        <f aca="false">IF(OR(E25="Closed",E25="Cancelled"),1,0)</f>
        <v>0</v>
      </c>
      <c r="N25" s="23" t="n">
        <f aca="false">K25*J25*L25</f>
        <v>0</v>
      </c>
    </row>
    <row r="26" customFormat="false" ht="15" hidden="false" customHeight="true" outlineLevel="0" collapsed="false">
      <c r="A26" s="20" t="s">
        <v>668</v>
      </c>
      <c r="B26" s="20" t="n">
        <v>23</v>
      </c>
      <c r="C26" s="20" t="str">
        <f aca="false">Tasks!A23</f>
        <v>WL Dec W2 Over-allocated (1 of 2) - Vishal PLAdmin</v>
      </c>
      <c r="D26" s="20" t="s">
        <v>94</v>
      </c>
      <c r="E26" s="20" t="str">
        <f aca="false">Tasks!C23</f>
        <v>Delayed</v>
      </c>
      <c r="F26" s="20" t="str">
        <f aca="false">Tasks!O23</f>
        <v>hrs/day</v>
      </c>
      <c r="G26" s="21" t="n">
        <v>5</v>
      </c>
      <c r="H26" s="22" t="n">
        <f aca="false">IF(Tasks!F23="","",DATE(RIGHT(Tasks!F23,4),MID(Tasks!F23,4,2),LEFT(Tasks!F23,2)))</f>
        <v>46370</v>
      </c>
      <c r="I26" s="22" t="n">
        <f aca="false">IF(Tasks!G23="","",DATE(RIGHT(Tasks!G23,4),MID(Tasks!G23,4,2),LEFT(Tasks!G23,2)))</f>
        <v>46374</v>
      </c>
      <c r="J26" s="20" t="n">
        <f aca="false">IF(H26="",0,NETWORKDAYS(H26,I26))</f>
        <v>5</v>
      </c>
      <c r="K26" s="23" t="n">
        <f aca="false">IF(OR(H26="",J26=0),0,IF(F26="hrs/day",G26,IF(F26="%/day",G26/100*$B$1,G26/J26)))</f>
        <v>5</v>
      </c>
      <c r="L26" s="20" t="n">
        <f aca="false">IF(A26="Previous import",$B$2,1)</f>
        <v>1</v>
      </c>
      <c r="M26" s="20" t="n">
        <f aca="false">IF(OR(E26="Closed",E26="Cancelled"),1,0)</f>
        <v>0</v>
      </c>
      <c r="N26" s="23" t="n">
        <f aca="false">K26*J26*L26</f>
        <v>25</v>
      </c>
    </row>
    <row r="27" customFormat="false" ht="15" hidden="false" customHeight="true" outlineLevel="0" collapsed="false">
      <c r="A27" s="20" t="s">
        <v>668</v>
      </c>
      <c r="B27" s="20" t="n">
        <v>24</v>
      </c>
      <c r="C27" s="20" t="str">
        <f aca="false">Tasks!A24</f>
        <v>WL Dec W2 Over-allocated (2 of 2) - Vishal PLAdmin</v>
      </c>
      <c r="D27" s="20" t="s">
        <v>94</v>
      </c>
      <c r="E27" s="20" t="str">
        <f aca="false">Tasks!C24</f>
        <v>Closed</v>
      </c>
      <c r="F27" s="20" t="str">
        <f aca="false">Tasks!O24</f>
        <v>%/day</v>
      </c>
      <c r="G27" s="21" t="n">
        <v>50</v>
      </c>
      <c r="H27" s="22" t="n">
        <f aca="false">IF(Tasks!F24="","",DATE(RIGHT(Tasks!F24,4),MID(Tasks!F24,4,2),LEFT(Tasks!F24,2)))</f>
        <v>46370</v>
      </c>
      <c r="I27" s="22" t="n">
        <f aca="false">IF(Tasks!G24="","",DATE(RIGHT(Tasks!G24,4),MID(Tasks!G24,4,2),LEFT(Tasks!G24,2)))</f>
        <v>46374</v>
      </c>
      <c r="J27" s="20" t="n">
        <f aca="false">IF(H27="",0,NETWORKDAYS(H27,I27))</f>
        <v>5</v>
      </c>
      <c r="K27" s="23" t="n">
        <f aca="false">IF(OR(H27="",J27=0),0,IF(F27="hrs/day",G27,IF(F27="%/day",G27/100*$B$1,G27/J27)))</f>
        <v>4.5</v>
      </c>
      <c r="L27" s="20" t="n">
        <f aca="false">IF(A27="Previous import",$B$2,1)</f>
        <v>1</v>
      </c>
      <c r="M27" s="20" t="n">
        <f aca="false">IF(OR(E27="Closed",E27="Cancelled"),1,0)</f>
        <v>1</v>
      </c>
      <c r="N27" s="23" t="n">
        <f aca="false">K27*J27*L27</f>
        <v>22.5</v>
      </c>
    </row>
    <row r="28" customFormat="false" ht="15" hidden="false" customHeight="true" outlineLevel="0" collapsed="false">
      <c r="A28" s="20" t="s">
        <v>668</v>
      </c>
      <c r="B28" s="20" t="n">
        <v>25</v>
      </c>
      <c r="C28" s="20" t="str">
        <f aca="false">Tasks!A25</f>
        <v>WL Dec W3 Optimally allocated - Vishal PLAdmin</v>
      </c>
      <c r="D28" s="20" t="s">
        <v>94</v>
      </c>
      <c r="E28" s="20" t="str">
        <f aca="false">Tasks!C25</f>
        <v>Cancelled</v>
      </c>
      <c r="F28" s="20" t="str">
        <f aca="false">Tasks!O25</f>
        <v>hrs</v>
      </c>
      <c r="G28" s="21" t="n">
        <v>45</v>
      </c>
      <c r="H28" s="22" t="n">
        <f aca="false">IF(Tasks!F25="","",DATE(RIGHT(Tasks!F25,4),MID(Tasks!F25,4,2),LEFT(Tasks!F25,2)))</f>
        <v>46377</v>
      </c>
      <c r="I28" s="22" t="n">
        <f aca="false">IF(Tasks!G25="","",DATE(RIGHT(Tasks!G25,4),MID(Tasks!G25,4,2),LEFT(Tasks!G25,2)))</f>
        <v>46381</v>
      </c>
      <c r="J28" s="20" t="n">
        <f aca="false">IF(H28="",0,NETWORKDAYS(H28,I28))</f>
        <v>5</v>
      </c>
      <c r="K28" s="23" t="n">
        <f aca="false">IF(OR(H28="",J28=0),0,IF(F28="hrs/day",G28,IF(F28="%/day",G28/100*$B$1,G28/J28)))</f>
        <v>9</v>
      </c>
      <c r="L28" s="20" t="n">
        <f aca="false">IF(A28="Previous import",$B$2,1)</f>
        <v>1</v>
      </c>
      <c r="M28" s="20" t="n">
        <f aca="false">IF(OR(E28="Closed",E28="Cancelled"),1,0)</f>
        <v>1</v>
      </c>
      <c r="N28" s="23" t="n">
        <f aca="false">K28*J28*L28</f>
        <v>45</v>
      </c>
    </row>
    <row r="29" customFormat="false" ht="15" hidden="false" customHeight="true" outlineLevel="0" collapsed="false">
      <c r="A29" s="20" t="s">
        <v>668</v>
      </c>
      <c r="B29" s="20" t="n">
        <v>26</v>
      </c>
      <c r="C29" s="20" t="str">
        <f aca="false">Tasks!A26</f>
        <v>WL Dec W4 Under-allocated - Vishal PLAdmin</v>
      </c>
      <c r="D29" s="20" t="s">
        <v>94</v>
      </c>
      <c r="E29" s="20" t="str">
        <f aca="false">Tasks!C26</f>
        <v>Open</v>
      </c>
      <c r="F29" s="20" t="str">
        <f aca="false">Tasks!O26</f>
        <v>hrs/day</v>
      </c>
      <c r="G29" s="21" t="n">
        <v>8.5</v>
      </c>
      <c r="H29" s="22" t="n">
        <f aca="false">IF(Tasks!F26="","",DATE(RIGHT(Tasks!F26,4),MID(Tasks!F26,4,2),LEFT(Tasks!F26,2)))</f>
        <v>46384</v>
      </c>
      <c r="I29" s="22" t="n">
        <f aca="false">IF(Tasks!G26="","",DATE(RIGHT(Tasks!G26,4),MID(Tasks!G26,4,2),LEFT(Tasks!G26,2)))</f>
        <v>46387</v>
      </c>
      <c r="J29" s="20" t="n">
        <f aca="false">IF(H29="",0,NETWORKDAYS(H29,I29))</f>
        <v>4</v>
      </c>
      <c r="K29" s="23" t="n">
        <f aca="false">IF(OR(H29="",J29=0),0,IF(F29="hrs/day",G29,IF(F29="%/day",G29/100*$B$1,G29/J29)))</f>
        <v>8.5</v>
      </c>
      <c r="L29" s="20" t="n">
        <f aca="false">IF(A29="Previous import",$B$2,1)</f>
        <v>1</v>
      </c>
      <c r="M29" s="20" t="n">
        <f aca="false">IF(OR(E29="Closed",E29="Cancelled"),1,0)</f>
        <v>0</v>
      </c>
      <c r="N29" s="23" t="n">
        <f aca="false">K29*J29*L29</f>
        <v>34</v>
      </c>
    </row>
    <row r="30" customFormat="false" ht="15" hidden="false" customHeight="true" outlineLevel="0" collapsed="false">
      <c r="A30" s="20" t="s">
        <v>668</v>
      </c>
      <c r="B30" s="20" t="n">
        <v>27</v>
      </c>
      <c r="C30" s="20" t="str">
        <f aca="false">Tasks!A27</f>
        <v>WL Oct W1 Under-allocated - vishal PL manager</v>
      </c>
      <c r="D30" s="20" t="s">
        <v>117</v>
      </c>
      <c r="E30" s="20" t="str">
        <f aca="false">Tasks!C27</f>
        <v>In Progress</v>
      </c>
      <c r="F30" s="20" t="str">
        <f aca="false">Tasks!O27</f>
        <v>hrs</v>
      </c>
      <c r="G30" s="21" t="n">
        <v>15</v>
      </c>
      <c r="H30" s="22" t="n">
        <f aca="false">IF(Tasks!F27="","",DATE(RIGHT(Tasks!F27,4),MID(Tasks!F27,4,2),LEFT(Tasks!F27,2)))</f>
        <v>46300</v>
      </c>
      <c r="I30" s="22" t="n">
        <f aca="false">IF(Tasks!G27="","",DATE(RIGHT(Tasks!G27,4),MID(Tasks!G27,4,2),LEFT(Tasks!G27,2)))</f>
        <v>46304</v>
      </c>
      <c r="J30" s="20" t="n">
        <f aca="false">IF(H30="",0,NETWORKDAYS(H30,I30))</f>
        <v>5</v>
      </c>
      <c r="K30" s="23" t="n">
        <f aca="false">IF(OR(H30="",J30=0),0,IF(F30="hrs/day",G30,IF(F30="%/day",G30/100*$B$1,G30/J30)))</f>
        <v>3</v>
      </c>
      <c r="L30" s="20" t="n">
        <f aca="false">IF(A30="Previous import",$B$2,1)</f>
        <v>1</v>
      </c>
      <c r="M30" s="20" t="n">
        <f aca="false">IF(OR(E30="Closed",E30="Cancelled"),1,0)</f>
        <v>0</v>
      </c>
      <c r="N30" s="23" t="n">
        <f aca="false">K30*J30*L30</f>
        <v>15</v>
      </c>
    </row>
    <row r="31" customFormat="false" ht="15" hidden="false" customHeight="true" outlineLevel="0" collapsed="false">
      <c r="A31" s="20" t="s">
        <v>668</v>
      </c>
      <c r="B31" s="20" t="n">
        <v>28</v>
      </c>
      <c r="C31" s="20" t="str">
        <f aca="false">Tasks!A28</f>
        <v>WL Oct W3 Over-allocated - vishal PL manager</v>
      </c>
      <c r="D31" s="20" t="s">
        <v>117</v>
      </c>
      <c r="E31" s="20" t="str">
        <f aca="false">Tasks!C28</f>
        <v>In Review</v>
      </c>
      <c r="F31" s="20" t="str">
        <f aca="false">Tasks!O28</f>
        <v>hrs</v>
      </c>
      <c r="G31" s="21" t="n">
        <v>60</v>
      </c>
      <c r="H31" s="22" t="n">
        <f aca="false">IF(Tasks!F28="","",DATE(RIGHT(Tasks!F28,4),MID(Tasks!F28,4,2),LEFT(Tasks!F28,2)))</f>
        <v>46314</v>
      </c>
      <c r="I31" s="22" t="n">
        <f aca="false">IF(Tasks!G28="","",DATE(RIGHT(Tasks!G28,4),MID(Tasks!G28,4,2),LEFT(Tasks!G28,2)))</f>
        <v>46318</v>
      </c>
      <c r="J31" s="20" t="n">
        <f aca="false">IF(H31="",0,NETWORKDAYS(H31,I31))</f>
        <v>5</v>
      </c>
      <c r="K31" s="23" t="n">
        <f aca="false">IF(OR(H31="",J31=0),0,IF(F31="hrs/day",G31,IF(F31="%/day",G31/100*$B$1,G31/J31)))</f>
        <v>12</v>
      </c>
      <c r="L31" s="20" t="n">
        <f aca="false">IF(A31="Previous import",$B$2,1)</f>
        <v>1</v>
      </c>
      <c r="M31" s="20" t="n">
        <f aca="false">IF(OR(E31="Closed",E31="Cancelled"),1,0)</f>
        <v>0</v>
      </c>
      <c r="N31" s="23" t="n">
        <f aca="false">K31*J31*L31</f>
        <v>60</v>
      </c>
    </row>
    <row r="32" customFormat="false" ht="15" hidden="false" customHeight="true" outlineLevel="0" collapsed="false">
      <c r="A32" s="20" t="s">
        <v>668</v>
      </c>
      <c r="B32" s="20" t="n">
        <v>29</v>
      </c>
      <c r="C32" s="20" t="str">
        <f aca="false">Tasks!A29</f>
        <v>WL Oct W4 Optimally allocated (1 of 2) - vishal PL manager</v>
      </c>
      <c r="D32" s="20" t="s">
        <v>117</v>
      </c>
      <c r="E32" s="20" t="str">
        <f aca="false">Tasks!C29</f>
        <v>To be Tested</v>
      </c>
      <c r="F32" s="20" t="str">
        <f aca="false">Tasks!O29</f>
        <v>hrs</v>
      </c>
      <c r="G32" s="21" t="n">
        <v>22.5</v>
      </c>
      <c r="H32" s="22" t="n">
        <f aca="false">IF(Tasks!F29="","",DATE(RIGHT(Tasks!F29,4),MID(Tasks!F29,4,2),LEFT(Tasks!F29,2)))</f>
        <v>46321</v>
      </c>
      <c r="I32" s="22" t="n">
        <f aca="false">IF(Tasks!G29="","",DATE(RIGHT(Tasks!G29,4),MID(Tasks!G29,4,2),LEFT(Tasks!G29,2)))</f>
        <v>46325</v>
      </c>
      <c r="J32" s="20" t="n">
        <f aca="false">IF(H32="",0,NETWORKDAYS(H32,I32))</f>
        <v>5</v>
      </c>
      <c r="K32" s="23" t="n">
        <f aca="false">IF(OR(H32="",J32=0),0,IF(F32="hrs/day",G32,IF(F32="%/day",G32/100*$B$1,G32/J32)))</f>
        <v>4.5</v>
      </c>
      <c r="L32" s="20" t="n">
        <f aca="false">IF(A32="Previous import",$B$2,1)</f>
        <v>1</v>
      </c>
      <c r="M32" s="20" t="n">
        <f aca="false">IF(OR(E32="Closed",E32="Cancelled"),1,0)</f>
        <v>0</v>
      </c>
      <c r="N32" s="23" t="n">
        <f aca="false">K32*J32*L32</f>
        <v>22.5</v>
      </c>
    </row>
    <row r="33" customFormat="false" ht="15" hidden="false" customHeight="true" outlineLevel="0" collapsed="false">
      <c r="A33" s="20" t="s">
        <v>668</v>
      </c>
      <c r="B33" s="20" t="n">
        <v>30</v>
      </c>
      <c r="C33" s="20" t="str">
        <f aca="false">Tasks!A30</f>
        <v>WL Oct W4 Optimally allocated (2 of 2) - vishal PL manager</v>
      </c>
      <c r="D33" s="20" t="s">
        <v>117</v>
      </c>
      <c r="E33" s="20" t="str">
        <f aca="false">Tasks!C30</f>
        <v>On Hold</v>
      </c>
      <c r="F33" s="20" t="str">
        <f aca="false">Tasks!O30</f>
        <v>hrs/day</v>
      </c>
      <c r="G33" s="21" t="n">
        <v>4.5</v>
      </c>
      <c r="H33" s="22" t="n">
        <f aca="false">IF(Tasks!F30="","",DATE(RIGHT(Tasks!F30,4),MID(Tasks!F30,4,2),LEFT(Tasks!F30,2)))</f>
        <v>46321</v>
      </c>
      <c r="I33" s="22" t="n">
        <f aca="false">IF(Tasks!G30="","",DATE(RIGHT(Tasks!G30,4),MID(Tasks!G30,4,2),LEFT(Tasks!G30,2)))</f>
        <v>46325</v>
      </c>
      <c r="J33" s="20" t="n">
        <f aca="false">IF(H33="",0,NETWORKDAYS(H33,I33))</f>
        <v>5</v>
      </c>
      <c r="K33" s="23" t="n">
        <f aca="false">IF(OR(H33="",J33=0),0,IF(F33="hrs/day",G33,IF(F33="%/day",G33/100*$B$1,G33/J33)))</f>
        <v>4.5</v>
      </c>
      <c r="L33" s="20" t="n">
        <f aca="false">IF(A33="Previous import",$B$2,1)</f>
        <v>1</v>
      </c>
      <c r="M33" s="20" t="n">
        <f aca="false">IF(OR(E33="Closed",E33="Cancelled"),1,0)</f>
        <v>0</v>
      </c>
      <c r="N33" s="23" t="n">
        <f aca="false">K33*J33*L33</f>
        <v>22.5</v>
      </c>
    </row>
    <row r="34" customFormat="false" ht="15" hidden="false" customHeight="true" outlineLevel="0" collapsed="false">
      <c r="A34" s="20" t="s">
        <v>668</v>
      </c>
      <c r="B34" s="20" t="n">
        <v>31</v>
      </c>
      <c r="C34" s="20" t="str">
        <f aca="false">Tasks!A31</f>
        <v>WL Nov W2 Over-allocated - vishal PL manager</v>
      </c>
      <c r="D34" s="20" t="s">
        <v>117</v>
      </c>
      <c r="E34" s="20" t="str">
        <f aca="false">Tasks!C31</f>
        <v>Delayed</v>
      </c>
      <c r="F34" s="20" t="str">
        <f aca="false">Tasks!O31</f>
        <v>%/day</v>
      </c>
      <c r="G34" s="21" t="n">
        <v>150</v>
      </c>
      <c r="H34" s="22" t="n">
        <f aca="false">IF(Tasks!F31="","",DATE(RIGHT(Tasks!F31,4),MID(Tasks!F31,4,2),LEFT(Tasks!F31,2)))</f>
        <v>46335</v>
      </c>
      <c r="I34" s="22" t="n">
        <f aca="false">IF(Tasks!G31="","",DATE(RIGHT(Tasks!G31,4),MID(Tasks!G31,4,2),LEFT(Tasks!G31,2)))</f>
        <v>46339</v>
      </c>
      <c r="J34" s="20" t="n">
        <f aca="false">IF(H34="",0,NETWORKDAYS(H34,I34))</f>
        <v>5</v>
      </c>
      <c r="K34" s="23" t="n">
        <f aca="false">IF(OR(H34="",J34=0),0,IF(F34="hrs/day",G34,IF(F34="%/day",G34/100*$B$1,G34/J34)))</f>
        <v>13.5</v>
      </c>
      <c r="L34" s="20" t="n">
        <f aca="false">IF(A34="Previous import",$B$2,1)</f>
        <v>1</v>
      </c>
      <c r="M34" s="20" t="n">
        <f aca="false">IF(OR(E34="Closed",E34="Cancelled"),1,0)</f>
        <v>0</v>
      </c>
      <c r="N34" s="23" t="n">
        <f aca="false">K34*J34*L34</f>
        <v>67.5</v>
      </c>
    </row>
    <row r="35" customFormat="false" ht="15" hidden="false" customHeight="true" outlineLevel="0" collapsed="false">
      <c r="A35" s="20" t="s">
        <v>668</v>
      </c>
      <c r="B35" s="20" t="n">
        <v>32</v>
      </c>
      <c r="C35" s="20" t="str">
        <f aca="false">Tasks!A32</f>
        <v>WL Nov W3 Optimally allocated - vishal PL manager</v>
      </c>
      <c r="D35" s="20" t="s">
        <v>117</v>
      </c>
      <c r="E35" s="20" t="str">
        <f aca="false">Tasks!C32</f>
        <v>Closed</v>
      </c>
      <c r="F35" s="20" t="str">
        <f aca="false">Tasks!O32</f>
        <v>%/day</v>
      </c>
      <c r="G35" s="21" t="n">
        <v>100</v>
      </c>
      <c r="H35" s="22" t="n">
        <f aca="false">IF(Tasks!F32="","",DATE(RIGHT(Tasks!F32,4),MID(Tasks!F32,4,2),LEFT(Tasks!F32,2)))</f>
        <v>46342</v>
      </c>
      <c r="I35" s="22" t="n">
        <f aca="false">IF(Tasks!G32="","",DATE(RIGHT(Tasks!G32,4),MID(Tasks!G32,4,2),LEFT(Tasks!G32,2)))</f>
        <v>46346</v>
      </c>
      <c r="J35" s="20" t="n">
        <f aca="false">IF(H35="",0,NETWORKDAYS(H35,I35))</f>
        <v>5</v>
      </c>
      <c r="K35" s="23" t="n">
        <f aca="false">IF(OR(H35="",J35=0),0,IF(F35="hrs/day",G35,IF(F35="%/day",G35/100*$B$1,G35/J35)))</f>
        <v>9</v>
      </c>
      <c r="L35" s="20" t="n">
        <f aca="false">IF(A35="Previous import",$B$2,1)</f>
        <v>1</v>
      </c>
      <c r="M35" s="20" t="n">
        <f aca="false">IF(OR(E35="Closed",E35="Cancelled"),1,0)</f>
        <v>1</v>
      </c>
      <c r="N35" s="23" t="n">
        <f aca="false">K35*J35*L35</f>
        <v>45</v>
      </c>
    </row>
    <row r="36" customFormat="false" ht="15" hidden="false" customHeight="true" outlineLevel="0" collapsed="false">
      <c r="A36" s="20" t="s">
        <v>668</v>
      </c>
      <c r="B36" s="20" t="n">
        <v>33</v>
      </c>
      <c r="C36" s="20" t="str">
        <f aca="false">Tasks!A33</f>
        <v>WL Nov W4 Under-allocated - vishal PL manager</v>
      </c>
      <c r="D36" s="20" t="s">
        <v>117</v>
      </c>
      <c r="E36" s="20" t="str">
        <f aca="false">Tasks!C33</f>
        <v>Cancelled</v>
      </c>
      <c r="F36" s="20" t="str">
        <f aca="false">Tasks!O33</f>
        <v>%/day</v>
      </c>
      <c r="G36" s="21" t="n">
        <v>25</v>
      </c>
      <c r="H36" s="22" t="n">
        <f aca="false">IF(Tasks!F33="","",DATE(RIGHT(Tasks!F33,4),MID(Tasks!F33,4,2),LEFT(Tasks!F33,2)))</f>
        <v>46349</v>
      </c>
      <c r="I36" s="22" t="n">
        <f aca="false">IF(Tasks!G33="","",DATE(RIGHT(Tasks!G33,4),MID(Tasks!G33,4,2),LEFT(Tasks!G33,2)))</f>
        <v>46353</v>
      </c>
      <c r="J36" s="20" t="n">
        <f aca="false">IF(H36="",0,NETWORKDAYS(H36,I36))</f>
        <v>5</v>
      </c>
      <c r="K36" s="23" t="n">
        <f aca="false">IF(OR(H36="",J36=0),0,IF(F36="hrs/day",G36,IF(F36="%/day",G36/100*$B$1,G36/J36)))</f>
        <v>2.25</v>
      </c>
      <c r="L36" s="20" t="n">
        <f aca="false">IF(A36="Previous import",$B$2,1)</f>
        <v>1</v>
      </c>
      <c r="M36" s="20" t="n">
        <f aca="false">IF(OR(E36="Closed",E36="Cancelled"),1,0)</f>
        <v>1</v>
      </c>
      <c r="N36" s="23" t="n">
        <f aca="false">K36*J36*L36</f>
        <v>11.25</v>
      </c>
    </row>
    <row r="37" customFormat="false" ht="15" hidden="false" customHeight="true" outlineLevel="0" collapsed="false">
      <c r="A37" s="20" t="s">
        <v>668</v>
      </c>
      <c r="B37" s="20" t="n">
        <v>34</v>
      </c>
      <c r="C37" s="20" t="str">
        <f aca="false">Tasks!A34</f>
        <v>WL Dec W1 Over-allocated (1 of 2) - vishal PL manager</v>
      </c>
      <c r="D37" s="20" t="s">
        <v>117</v>
      </c>
      <c r="E37" s="20" t="str">
        <f aca="false">Tasks!C34</f>
        <v>Open</v>
      </c>
      <c r="F37" s="20" t="str">
        <f aca="false">Tasks!O34</f>
        <v>hrs/day</v>
      </c>
      <c r="G37" s="21" t="n">
        <v>6</v>
      </c>
      <c r="H37" s="22" t="n">
        <f aca="false">IF(Tasks!F34="","",DATE(RIGHT(Tasks!F34,4),MID(Tasks!F34,4,2),LEFT(Tasks!F34,2)))</f>
        <v>46363</v>
      </c>
      <c r="I37" s="22" t="n">
        <f aca="false">IF(Tasks!G34="","",DATE(RIGHT(Tasks!G34,4),MID(Tasks!G34,4,2),LEFT(Tasks!G34,2)))</f>
        <v>46367</v>
      </c>
      <c r="J37" s="20" t="n">
        <f aca="false">IF(H37="",0,NETWORKDAYS(H37,I37))</f>
        <v>5</v>
      </c>
      <c r="K37" s="23" t="n">
        <f aca="false">IF(OR(H37="",J37=0),0,IF(F37="hrs/day",G37,IF(F37="%/day",G37/100*$B$1,G37/J37)))</f>
        <v>6</v>
      </c>
      <c r="L37" s="20" t="n">
        <f aca="false">IF(A37="Previous import",$B$2,1)</f>
        <v>1</v>
      </c>
      <c r="M37" s="20" t="n">
        <f aca="false">IF(OR(E37="Closed",E37="Cancelled"),1,0)</f>
        <v>0</v>
      </c>
      <c r="N37" s="23" t="n">
        <f aca="false">K37*J37*L37</f>
        <v>30</v>
      </c>
    </row>
    <row r="38" customFormat="false" ht="15" hidden="false" customHeight="true" outlineLevel="0" collapsed="false">
      <c r="A38" s="20" t="s">
        <v>668</v>
      </c>
      <c r="B38" s="20" t="n">
        <v>35</v>
      </c>
      <c r="C38" s="20" t="str">
        <f aca="false">Tasks!A35</f>
        <v>WL Dec W1 Over-allocated (2 of 2) - vishal PL manager</v>
      </c>
      <c r="D38" s="20" t="s">
        <v>117</v>
      </c>
      <c r="E38" s="20" t="str">
        <f aca="false">Tasks!C35</f>
        <v>In Progress</v>
      </c>
      <c r="F38" s="20" t="str">
        <f aca="false">Tasks!O35</f>
        <v>hrs/day</v>
      </c>
      <c r="G38" s="21" t="n">
        <v>4.5</v>
      </c>
      <c r="H38" s="22" t="n">
        <f aca="false">IF(Tasks!F35="","",DATE(RIGHT(Tasks!F35,4),MID(Tasks!F35,4,2),LEFT(Tasks!F35,2)))</f>
        <v>46363</v>
      </c>
      <c r="I38" s="22" t="n">
        <f aca="false">IF(Tasks!G35="","",DATE(RIGHT(Tasks!G35,4),MID(Tasks!G35,4,2),LEFT(Tasks!G35,2)))</f>
        <v>46367</v>
      </c>
      <c r="J38" s="20" t="n">
        <f aca="false">IF(H38="",0,NETWORKDAYS(H38,I38))</f>
        <v>5</v>
      </c>
      <c r="K38" s="23" t="n">
        <f aca="false">IF(OR(H38="",J38=0),0,IF(F38="hrs/day",G38,IF(F38="%/day",G38/100*$B$1,G38/J38)))</f>
        <v>4.5</v>
      </c>
      <c r="L38" s="20" t="n">
        <f aca="false">IF(A38="Previous import",$B$2,1)</f>
        <v>1</v>
      </c>
      <c r="M38" s="20" t="n">
        <f aca="false">IF(OR(E38="Closed",E38="Cancelled"),1,0)</f>
        <v>0</v>
      </c>
      <c r="N38" s="23" t="n">
        <f aca="false">K38*J38*L38</f>
        <v>22.5</v>
      </c>
    </row>
    <row r="39" customFormat="false" ht="15" hidden="false" customHeight="true" outlineLevel="0" collapsed="false">
      <c r="A39" s="20" t="s">
        <v>668</v>
      </c>
      <c r="B39" s="20" t="n">
        <v>36</v>
      </c>
      <c r="C39" s="20" t="str">
        <f aca="false">Tasks!A36</f>
        <v>WL Dec W2 Optimally allocated - vishal PL manager</v>
      </c>
      <c r="D39" s="20" t="s">
        <v>117</v>
      </c>
      <c r="E39" s="20" t="str">
        <f aca="false">Tasks!C36</f>
        <v>In Review</v>
      </c>
      <c r="F39" s="20" t="str">
        <f aca="false">Tasks!O36</f>
        <v>hrs/day</v>
      </c>
      <c r="G39" s="21" t="n">
        <v>9</v>
      </c>
      <c r="H39" s="22" t="n">
        <f aca="false">IF(Tasks!F36="","",DATE(RIGHT(Tasks!F36,4),MID(Tasks!F36,4,2),LEFT(Tasks!F36,2)))</f>
        <v>46370</v>
      </c>
      <c r="I39" s="22" t="n">
        <f aca="false">IF(Tasks!G36="","",DATE(RIGHT(Tasks!G36,4),MID(Tasks!G36,4,2),LEFT(Tasks!G36,2)))</f>
        <v>46374</v>
      </c>
      <c r="J39" s="20" t="n">
        <f aca="false">IF(H39="",0,NETWORKDAYS(H39,I39))</f>
        <v>5</v>
      </c>
      <c r="K39" s="23" t="n">
        <f aca="false">IF(OR(H39="",J39=0),0,IF(F39="hrs/day",G39,IF(F39="%/day",G39/100*$B$1,G39/J39)))</f>
        <v>9</v>
      </c>
      <c r="L39" s="20" t="n">
        <f aca="false">IF(A39="Previous import",$B$2,1)</f>
        <v>1</v>
      </c>
      <c r="M39" s="20" t="n">
        <f aca="false">IF(OR(E39="Closed",E39="Cancelled"),1,0)</f>
        <v>0</v>
      </c>
      <c r="N39" s="23" t="n">
        <f aca="false">K39*J39*L39</f>
        <v>45</v>
      </c>
    </row>
    <row r="40" customFormat="false" ht="15" hidden="false" customHeight="true" outlineLevel="0" collapsed="false">
      <c r="A40" s="20" t="s">
        <v>668</v>
      </c>
      <c r="B40" s="20" t="n">
        <v>37</v>
      </c>
      <c r="C40" s="20" t="str">
        <f aca="false">Tasks!A37</f>
        <v>WL Dec W3 Under-allocated - vishal PL manager</v>
      </c>
      <c r="D40" s="20" t="s">
        <v>117</v>
      </c>
      <c r="E40" s="20" t="str">
        <f aca="false">Tasks!C37</f>
        <v>To be Tested</v>
      </c>
      <c r="F40" s="20" t="str">
        <f aca="false">Tasks!O37</f>
        <v>hrs/day</v>
      </c>
      <c r="G40" s="21" t="n">
        <v>4.5</v>
      </c>
      <c r="H40" s="22" t="n">
        <f aca="false">IF(Tasks!F37="","",DATE(RIGHT(Tasks!F37,4),MID(Tasks!F37,4,2),LEFT(Tasks!F37,2)))</f>
        <v>46377</v>
      </c>
      <c r="I40" s="22" t="n">
        <f aca="false">IF(Tasks!G37="","",DATE(RIGHT(Tasks!G37,4),MID(Tasks!G37,4,2),LEFT(Tasks!G37,2)))</f>
        <v>46381</v>
      </c>
      <c r="J40" s="20" t="n">
        <f aca="false">IF(H40="",0,NETWORKDAYS(H40,I40))</f>
        <v>5</v>
      </c>
      <c r="K40" s="23" t="n">
        <f aca="false">IF(OR(H40="",J40=0),0,IF(F40="hrs/day",G40,IF(F40="%/day",G40/100*$B$1,G40/J40)))</f>
        <v>4.5</v>
      </c>
      <c r="L40" s="20" t="n">
        <f aca="false">IF(A40="Previous import",$B$2,1)</f>
        <v>1</v>
      </c>
      <c r="M40" s="20" t="n">
        <f aca="false">IF(OR(E40="Closed",E40="Cancelled"),1,0)</f>
        <v>0</v>
      </c>
      <c r="N40" s="23" t="n">
        <f aca="false">K40*J40*L40</f>
        <v>22.5</v>
      </c>
    </row>
    <row r="41" customFormat="false" ht="15" hidden="false" customHeight="true" outlineLevel="0" collapsed="false">
      <c r="A41" s="20" t="s">
        <v>668</v>
      </c>
      <c r="B41" s="20" t="n">
        <v>38</v>
      </c>
      <c r="C41" s="20" t="str">
        <f aca="false">Tasks!A38</f>
        <v>WL Oct W1 Unallocated - Vishal plemployee</v>
      </c>
      <c r="D41" s="20" t="s">
        <v>262</v>
      </c>
      <c r="E41" s="20" t="str">
        <f aca="false">Tasks!C38</f>
        <v>On Hold</v>
      </c>
      <c r="F41" s="20" t="str">
        <f aca="false">Tasks!O38</f>
        <v>hrs/day</v>
      </c>
      <c r="G41" s="21" t="n">
        <v>0</v>
      </c>
      <c r="H41" s="22" t="n">
        <f aca="false">IF(Tasks!F38="","",DATE(RIGHT(Tasks!F38,4),MID(Tasks!F38,4,2),LEFT(Tasks!F38,2)))</f>
        <v>46300</v>
      </c>
      <c r="I41" s="22" t="n">
        <f aca="false">IF(Tasks!G38="","",DATE(RIGHT(Tasks!G38,4),MID(Tasks!G38,4,2),LEFT(Tasks!G38,2)))</f>
        <v>46304</v>
      </c>
      <c r="J41" s="20" t="n">
        <f aca="false">IF(H41="",0,NETWORKDAYS(H41,I41))</f>
        <v>5</v>
      </c>
      <c r="K41" s="23" t="n">
        <f aca="false">IF(OR(H41="",J41=0),0,IF(F41="hrs/day",G41,IF(F41="%/day",G41/100*$B$1,G41/J41)))</f>
        <v>0</v>
      </c>
      <c r="L41" s="20" t="n">
        <f aca="false">IF(A41="Previous import",$B$2,1)</f>
        <v>1</v>
      </c>
      <c r="M41" s="20" t="n">
        <f aca="false">IF(OR(E41="Closed",E41="Cancelled"),1,0)</f>
        <v>0</v>
      </c>
      <c r="N41" s="23" t="n">
        <f aca="false">K41*J41*L41</f>
        <v>0</v>
      </c>
    </row>
    <row r="42" customFormat="false" ht="15" hidden="false" customHeight="true" outlineLevel="0" collapsed="false">
      <c r="A42" s="20" t="s">
        <v>668</v>
      </c>
      <c r="B42" s="20" t="n">
        <v>39</v>
      </c>
      <c r="C42" s="20" t="str">
        <f aca="false">Tasks!A39</f>
        <v>WL Oct W2 Over-allocated (1 of 2) - Vishal plemployee</v>
      </c>
      <c r="D42" s="20" t="s">
        <v>262</v>
      </c>
      <c r="E42" s="20" t="str">
        <f aca="false">Tasks!C39</f>
        <v>Delayed</v>
      </c>
      <c r="F42" s="20" t="str">
        <f aca="false">Tasks!O39</f>
        <v>hrs/day</v>
      </c>
      <c r="G42" s="21" t="n">
        <v>5</v>
      </c>
      <c r="H42" s="22" t="n">
        <f aca="false">IF(Tasks!F39="","",DATE(RIGHT(Tasks!F39,4),MID(Tasks!F39,4,2),LEFT(Tasks!F39,2)))</f>
        <v>46307</v>
      </c>
      <c r="I42" s="22" t="n">
        <f aca="false">IF(Tasks!G39="","",DATE(RIGHT(Tasks!G39,4),MID(Tasks!G39,4,2),LEFT(Tasks!G39,2)))</f>
        <v>46311</v>
      </c>
      <c r="J42" s="20" t="n">
        <f aca="false">IF(H42="",0,NETWORKDAYS(H42,I42))</f>
        <v>5</v>
      </c>
      <c r="K42" s="23" t="n">
        <f aca="false">IF(OR(H42="",J42=0),0,IF(F42="hrs/day",G42,IF(F42="%/day",G42/100*$B$1,G42/J42)))</f>
        <v>5</v>
      </c>
      <c r="L42" s="20" t="n">
        <f aca="false">IF(A42="Previous import",$B$2,1)</f>
        <v>1</v>
      </c>
      <c r="M42" s="20" t="n">
        <f aca="false">IF(OR(E42="Closed",E42="Cancelled"),1,0)</f>
        <v>0</v>
      </c>
      <c r="N42" s="23" t="n">
        <f aca="false">K42*J42*L42</f>
        <v>25</v>
      </c>
    </row>
    <row r="43" customFormat="false" ht="15" hidden="false" customHeight="true" outlineLevel="0" collapsed="false">
      <c r="A43" s="20" t="s">
        <v>668</v>
      </c>
      <c r="B43" s="20" t="n">
        <v>40</v>
      </c>
      <c r="C43" s="20" t="str">
        <f aca="false">Tasks!A40</f>
        <v>WL Oct W2 Over-allocated (2 of 2) - Vishal plemployee</v>
      </c>
      <c r="D43" s="20" t="s">
        <v>262</v>
      </c>
      <c r="E43" s="20" t="str">
        <f aca="false">Tasks!C40</f>
        <v>Closed</v>
      </c>
      <c r="F43" s="20" t="str">
        <f aca="false">Tasks!O40</f>
        <v>%/day</v>
      </c>
      <c r="G43" s="21" t="n">
        <v>50</v>
      </c>
      <c r="H43" s="22" t="n">
        <f aca="false">IF(Tasks!F40="","",DATE(RIGHT(Tasks!F40,4),MID(Tasks!F40,4,2),LEFT(Tasks!F40,2)))</f>
        <v>46307</v>
      </c>
      <c r="I43" s="22" t="n">
        <f aca="false">IF(Tasks!G40="","",DATE(RIGHT(Tasks!G40,4),MID(Tasks!G40,4,2),LEFT(Tasks!G40,2)))</f>
        <v>46311</v>
      </c>
      <c r="J43" s="20" t="n">
        <f aca="false">IF(H43="",0,NETWORKDAYS(H43,I43))</f>
        <v>5</v>
      </c>
      <c r="K43" s="23" t="n">
        <f aca="false">IF(OR(H43="",J43=0),0,IF(F43="hrs/day",G43,IF(F43="%/day",G43/100*$B$1,G43/J43)))</f>
        <v>4.5</v>
      </c>
      <c r="L43" s="20" t="n">
        <f aca="false">IF(A43="Previous import",$B$2,1)</f>
        <v>1</v>
      </c>
      <c r="M43" s="20" t="n">
        <f aca="false">IF(OR(E43="Closed",E43="Cancelled"),1,0)</f>
        <v>1</v>
      </c>
      <c r="N43" s="23" t="n">
        <f aca="false">K43*J43*L43</f>
        <v>22.5</v>
      </c>
    </row>
    <row r="44" customFormat="false" ht="15" hidden="false" customHeight="true" outlineLevel="0" collapsed="false">
      <c r="A44" s="20" t="s">
        <v>668</v>
      </c>
      <c r="B44" s="20" t="n">
        <v>41</v>
      </c>
      <c r="C44" s="20" t="str">
        <f aca="false">Tasks!A41</f>
        <v>WL Oct W3 Optimally allocated - Vishal plemployee</v>
      </c>
      <c r="D44" s="20" t="s">
        <v>262</v>
      </c>
      <c r="E44" s="20" t="str">
        <f aca="false">Tasks!C41</f>
        <v>Cancelled</v>
      </c>
      <c r="F44" s="20" t="str">
        <f aca="false">Tasks!O41</f>
        <v>hrs</v>
      </c>
      <c r="G44" s="21" t="n">
        <v>45</v>
      </c>
      <c r="H44" s="22" t="n">
        <f aca="false">IF(Tasks!F41="","",DATE(RIGHT(Tasks!F41,4),MID(Tasks!F41,4,2),LEFT(Tasks!F41,2)))</f>
        <v>46314</v>
      </c>
      <c r="I44" s="22" t="n">
        <f aca="false">IF(Tasks!G41="","",DATE(RIGHT(Tasks!G41,4),MID(Tasks!G41,4,2),LEFT(Tasks!G41,2)))</f>
        <v>46318</v>
      </c>
      <c r="J44" s="20" t="n">
        <f aca="false">IF(H44="",0,NETWORKDAYS(H44,I44))</f>
        <v>5</v>
      </c>
      <c r="K44" s="23" t="n">
        <f aca="false">IF(OR(H44="",J44=0),0,IF(F44="hrs/day",G44,IF(F44="%/day",G44/100*$B$1,G44/J44)))</f>
        <v>9</v>
      </c>
      <c r="L44" s="20" t="n">
        <f aca="false">IF(A44="Previous import",$B$2,1)</f>
        <v>1</v>
      </c>
      <c r="M44" s="20" t="n">
        <f aca="false">IF(OR(E44="Closed",E44="Cancelled"),1,0)</f>
        <v>1</v>
      </c>
      <c r="N44" s="23" t="n">
        <f aca="false">K44*J44*L44</f>
        <v>45</v>
      </c>
    </row>
    <row r="45" customFormat="false" ht="15" hidden="false" customHeight="true" outlineLevel="0" collapsed="false">
      <c r="A45" s="20" t="s">
        <v>668</v>
      </c>
      <c r="B45" s="20" t="n">
        <v>42</v>
      </c>
      <c r="C45" s="20" t="str">
        <f aca="false">Tasks!A42</f>
        <v>WL Oct W4 Under-allocated - Vishal plemployee</v>
      </c>
      <c r="D45" s="20" t="s">
        <v>262</v>
      </c>
      <c r="E45" s="20" t="str">
        <f aca="false">Tasks!C42</f>
        <v>Open</v>
      </c>
      <c r="F45" s="20" t="str">
        <f aca="false">Tasks!O42</f>
        <v>hrs/day</v>
      </c>
      <c r="G45" s="21" t="n">
        <v>8.5</v>
      </c>
      <c r="H45" s="22" t="n">
        <f aca="false">IF(Tasks!F42="","",DATE(RIGHT(Tasks!F42,4),MID(Tasks!F42,4,2),LEFT(Tasks!F42,2)))</f>
        <v>46321</v>
      </c>
      <c r="I45" s="22" t="n">
        <f aca="false">IF(Tasks!G42="","",DATE(RIGHT(Tasks!G42,4),MID(Tasks!G42,4,2),LEFT(Tasks!G42,2)))</f>
        <v>46325</v>
      </c>
      <c r="J45" s="20" t="n">
        <f aca="false">IF(H45="",0,NETWORKDAYS(H45,I45))</f>
        <v>5</v>
      </c>
      <c r="K45" s="23" t="n">
        <f aca="false">IF(OR(H45="",J45=0),0,IF(F45="hrs/day",G45,IF(F45="%/day",G45/100*$B$1,G45/J45)))</f>
        <v>8.5</v>
      </c>
      <c r="L45" s="20" t="n">
        <f aca="false">IF(A45="Previous import",$B$2,1)</f>
        <v>1</v>
      </c>
      <c r="M45" s="20" t="n">
        <f aca="false">IF(OR(E45="Closed",E45="Cancelled"),1,0)</f>
        <v>0</v>
      </c>
      <c r="N45" s="23" t="n">
        <f aca="false">K45*J45*L45</f>
        <v>42.5</v>
      </c>
    </row>
    <row r="46" customFormat="false" ht="15" hidden="false" customHeight="true" outlineLevel="0" collapsed="false">
      <c r="A46" s="20" t="s">
        <v>668</v>
      </c>
      <c r="B46" s="20" t="n">
        <v>43</v>
      </c>
      <c r="C46" s="20" t="str">
        <f aca="false">Tasks!A43</f>
        <v>WL Nov W1 Over-allocated - Vishal plemployee</v>
      </c>
      <c r="D46" s="20" t="s">
        <v>262</v>
      </c>
      <c r="E46" s="20" t="str">
        <f aca="false">Tasks!C43</f>
        <v>In Progress</v>
      </c>
      <c r="F46" s="20" t="str">
        <f aca="false">Tasks!O43</f>
        <v>hrs</v>
      </c>
      <c r="G46" s="21" t="n">
        <v>60</v>
      </c>
      <c r="H46" s="22" t="n">
        <f aca="false">IF(Tasks!F43="","",DATE(RIGHT(Tasks!F43,4),MID(Tasks!F43,4,2),LEFT(Tasks!F43,2)))</f>
        <v>46328</v>
      </c>
      <c r="I46" s="22" t="n">
        <f aca="false">IF(Tasks!G43="","",DATE(RIGHT(Tasks!G43,4),MID(Tasks!G43,4,2),LEFT(Tasks!G43,2)))</f>
        <v>46332</v>
      </c>
      <c r="J46" s="20" t="n">
        <f aca="false">IF(H46="",0,NETWORKDAYS(H46,I46))</f>
        <v>5</v>
      </c>
      <c r="K46" s="23" t="n">
        <f aca="false">IF(OR(H46="",J46=0),0,IF(F46="hrs/day",G46,IF(F46="%/day",G46/100*$B$1,G46/J46)))</f>
        <v>12</v>
      </c>
      <c r="L46" s="20" t="n">
        <f aca="false">IF(A46="Previous import",$B$2,1)</f>
        <v>1</v>
      </c>
      <c r="M46" s="20" t="n">
        <f aca="false">IF(OR(E46="Closed",E46="Cancelled"),1,0)</f>
        <v>0</v>
      </c>
      <c r="N46" s="23" t="n">
        <f aca="false">K46*J46*L46</f>
        <v>60</v>
      </c>
    </row>
    <row r="47" customFormat="false" ht="15" hidden="false" customHeight="true" outlineLevel="0" collapsed="false">
      <c r="A47" s="20" t="s">
        <v>668</v>
      </c>
      <c r="B47" s="20" t="n">
        <v>44</v>
      </c>
      <c r="C47" s="20" t="str">
        <f aca="false">Tasks!A44</f>
        <v>WL Nov W2 Optimally allocated (1 of 2) - Vishal plemployee</v>
      </c>
      <c r="D47" s="20" t="s">
        <v>262</v>
      </c>
      <c r="E47" s="20" t="str">
        <f aca="false">Tasks!C44</f>
        <v>In Review</v>
      </c>
      <c r="F47" s="20" t="str">
        <f aca="false">Tasks!O44</f>
        <v>hrs</v>
      </c>
      <c r="G47" s="21" t="n">
        <v>22.5</v>
      </c>
      <c r="H47" s="22" t="n">
        <f aca="false">IF(Tasks!F44="","",DATE(RIGHT(Tasks!F44,4),MID(Tasks!F44,4,2),LEFT(Tasks!F44,2)))</f>
        <v>46335</v>
      </c>
      <c r="I47" s="22" t="n">
        <f aca="false">IF(Tasks!G44="","",DATE(RIGHT(Tasks!G44,4),MID(Tasks!G44,4,2),LEFT(Tasks!G44,2)))</f>
        <v>46339</v>
      </c>
      <c r="J47" s="20" t="n">
        <f aca="false">IF(H47="",0,NETWORKDAYS(H47,I47))</f>
        <v>5</v>
      </c>
      <c r="K47" s="23" t="n">
        <f aca="false">IF(OR(H47="",J47=0),0,IF(F47="hrs/day",G47,IF(F47="%/day",G47/100*$B$1,G47/J47)))</f>
        <v>4.5</v>
      </c>
      <c r="L47" s="20" t="n">
        <f aca="false">IF(A47="Previous import",$B$2,1)</f>
        <v>1</v>
      </c>
      <c r="M47" s="20" t="n">
        <f aca="false">IF(OR(E47="Closed",E47="Cancelled"),1,0)</f>
        <v>0</v>
      </c>
      <c r="N47" s="23" t="n">
        <f aca="false">K47*J47*L47</f>
        <v>22.5</v>
      </c>
    </row>
    <row r="48" customFormat="false" ht="15" hidden="false" customHeight="true" outlineLevel="0" collapsed="false">
      <c r="A48" s="20" t="s">
        <v>668</v>
      </c>
      <c r="B48" s="20" t="n">
        <v>45</v>
      </c>
      <c r="C48" s="20" t="str">
        <f aca="false">Tasks!A45</f>
        <v>WL Nov W2 Optimally allocated (2 of 2) - Vishal plemployee</v>
      </c>
      <c r="D48" s="20" t="s">
        <v>262</v>
      </c>
      <c r="E48" s="20" t="str">
        <f aca="false">Tasks!C45</f>
        <v>To be Tested</v>
      </c>
      <c r="F48" s="20" t="str">
        <f aca="false">Tasks!O45</f>
        <v>hrs/day</v>
      </c>
      <c r="G48" s="21" t="n">
        <v>4.5</v>
      </c>
      <c r="H48" s="22" t="n">
        <f aca="false">IF(Tasks!F45="","",DATE(RIGHT(Tasks!F45,4),MID(Tasks!F45,4,2),LEFT(Tasks!F45,2)))</f>
        <v>46335</v>
      </c>
      <c r="I48" s="22" t="n">
        <f aca="false">IF(Tasks!G45="","",DATE(RIGHT(Tasks!G45,4),MID(Tasks!G45,4,2),LEFT(Tasks!G45,2)))</f>
        <v>46339</v>
      </c>
      <c r="J48" s="20" t="n">
        <f aca="false">IF(H48="",0,NETWORKDAYS(H48,I48))</f>
        <v>5</v>
      </c>
      <c r="K48" s="23" t="n">
        <f aca="false">IF(OR(H48="",J48=0),0,IF(F48="hrs/day",G48,IF(F48="%/day",G48/100*$B$1,G48/J48)))</f>
        <v>4.5</v>
      </c>
      <c r="L48" s="20" t="n">
        <f aca="false">IF(A48="Previous import",$B$2,1)</f>
        <v>1</v>
      </c>
      <c r="M48" s="20" t="n">
        <f aca="false">IF(OR(E48="Closed",E48="Cancelled"),1,0)</f>
        <v>0</v>
      </c>
      <c r="N48" s="23" t="n">
        <f aca="false">K48*J48*L48</f>
        <v>22.5</v>
      </c>
    </row>
    <row r="49" customFormat="false" ht="15" hidden="false" customHeight="true" outlineLevel="0" collapsed="false">
      <c r="A49" s="20" t="s">
        <v>668</v>
      </c>
      <c r="B49" s="20" t="n">
        <v>46</v>
      </c>
      <c r="C49" s="20" t="str">
        <f aca="false">Tasks!A46</f>
        <v>WL Nov W3 Under-allocated - Vishal plemployee</v>
      </c>
      <c r="D49" s="20" t="s">
        <v>262</v>
      </c>
      <c r="E49" s="20" t="str">
        <f aca="false">Tasks!C46</f>
        <v>On Hold</v>
      </c>
      <c r="F49" s="20" t="str">
        <f aca="false">Tasks!O46</f>
        <v>hrs</v>
      </c>
      <c r="G49" s="21" t="n">
        <v>15</v>
      </c>
      <c r="H49" s="22" t="n">
        <f aca="false">IF(Tasks!F46="","",DATE(RIGHT(Tasks!F46,4),MID(Tasks!F46,4,2),LEFT(Tasks!F46,2)))</f>
        <v>46342</v>
      </c>
      <c r="I49" s="22" t="n">
        <f aca="false">IF(Tasks!G46="","",DATE(RIGHT(Tasks!G46,4),MID(Tasks!G46,4,2),LEFT(Tasks!G46,2)))</f>
        <v>46346</v>
      </c>
      <c r="J49" s="20" t="n">
        <f aca="false">IF(H49="",0,NETWORKDAYS(H49,I49))</f>
        <v>5</v>
      </c>
      <c r="K49" s="23" t="n">
        <f aca="false">IF(OR(H49="",J49=0),0,IF(F49="hrs/day",G49,IF(F49="%/day",G49/100*$B$1,G49/J49)))</f>
        <v>3</v>
      </c>
      <c r="L49" s="20" t="n">
        <f aca="false">IF(A49="Previous import",$B$2,1)</f>
        <v>1</v>
      </c>
      <c r="M49" s="20" t="n">
        <f aca="false">IF(OR(E49="Closed",E49="Cancelled"),1,0)</f>
        <v>0</v>
      </c>
      <c r="N49" s="23" t="n">
        <f aca="false">K49*J49*L49</f>
        <v>15</v>
      </c>
    </row>
    <row r="50" customFormat="false" ht="15" hidden="false" customHeight="true" outlineLevel="0" collapsed="false">
      <c r="A50" s="20" t="s">
        <v>668</v>
      </c>
      <c r="B50" s="20" t="n">
        <v>47</v>
      </c>
      <c r="C50" s="20" t="str">
        <f aca="false">Tasks!A47</f>
        <v>WL Dec W1 Optimally allocated - Vishal plemployee</v>
      </c>
      <c r="D50" s="20" t="s">
        <v>262</v>
      </c>
      <c r="E50" s="20" t="str">
        <f aca="false">Tasks!C47</f>
        <v>Delayed</v>
      </c>
      <c r="F50" s="20" t="str">
        <f aca="false">Tasks!O47</f>
        <v>%/day</v>
      </c>
      <c r="G50" s="21" t="n">
        <v>100</v>
      </c>
      <c r="H50" s="22" t="n">
        <f aca="false">IF(Tasks!F47="","",DATE(RIGHT(Tasks!F47,4),MID(Tasks!F47,4,2),LEFT(Tasks!F47,2)))</f>
        <v>46363</v>
      </c>
      <c r="I50" s="22" t="n">
        <f aca="false">IF(Tasks!G47="","",DATE(RIGHT(Tasks!G47,4),MID(Tasks!G47,4,2),LEFT(Tasks!G47,2)))</f>
        <v>46367</v>
      </c>
      <c r="J50" s="20" t="n">
        <f aca="false">IF(H50="",0,NETWORKDAYS(H50,I50))</f>
        <v>5</v>
      </c>
      <c r="K50" s="23" t="n">
        <f aca="false">IF(OR(H50="",J50=0),0,IF(F50="hrs/day",G50,IF(F50="%/day",G50/100*$B$1,G50/J50)))</f>
        <v>9</v>
      </c>
      <c r="L50" s="20" t="n">
        <f aca="false">IF(A50="Previous import",$B$2,1)</f>
        <v>1</v>
      </c>
      <c r="M50" s="20" t="n">
        <f aca="false">IF(OR(E50="Closed",E50="Cancelled"),1,0)</f>
        <v>0</v>
      </c>
      <c r="N50" s="23" t="n">
        <f aca="false">K50*J50*L50</f>
        <v>45</v>
      </c>
    </row>
    <row r="51" customFormat="false" ht="15" hidden="false" customHeight="true" outlineLevel="0" collapsed="false">
      <c r="A51" s="20" t="s">
        <v>668</v>
      </c>
      <c r="B51" s="20" t="n">
        <v>48</v>
      </c>
      <c r="C51" s="20" t="str">
        <f aca="false">Tasks!A48</f>
        <v>WL Dec W2 Under-allocated - Vishal plemployee</v>
      </c>
      <c r="D51" s="20" t="s">
        <v>262</v>
      </c>
      <c r="E51" s="20" t="str">
        <f aca="false">Tasks!C48</f>
        <v>Closed</v>
      </c>
      <c r="F51" s="20" t="str">
        <f aca="false">Tasks!O48</f>
        <v>%/day</v>
      </c>
      <c r="G51" s="21" t="n">
        <v>25</v>
      </c>
      <c r="H51" s="22" t="n">
        <f aca="false">IF(Tasks!F48="","",DATE(RIGHT(Tasks!F48,4),MID(Tasks!F48,4,2),LEFT(Tasks!F48,2)))</f>
        <v>46370</v>
      </c>
      <c r="I51" s="22" t="n">
        <f aca="false">IF(Tasks!G48="","",DATE(RIGHT(Tasks!G48,4),MID(Tasks!G48,4,2),LEFT(Tasks!G48,2)))</f>
        <v>46374</v>
      </c>
      <c r="J51" s="20" t="n">
        <f aca="false">IF(H51="",0,NETWORKDAYS(H51,I51))</f>
        <v>5</v>
      </c>
      <c r="K51" s="23" t="n">
        <f aca="false">IF(OR(H51="",J51=0),0,IF(F51="hrs/day",G51,IF(F51="%/day",G51/100*$B$1,G51/J51)))</f>
        <v>2.25</v>
      </c>
      <c r="L51" s="20" t="n">
        <f aca="false">IF(A51="Previous import",$B$2,1)</f>
        <v>1</v>
      </c>
      <c r="M51" s="20" t="n">
        <f aca="false">IF(OR(E51="Closed",E51="Cancelled"),1,0)</f>
        <v>1</v>
      </c>
      <c r="N51" s="23" t="n">
        <f aca="false">K51*J51*L51</f>
        <v>11.25</v>
      </c>
    </row>
    <row r="52" customFormat="false" ht="15" hidden="false" customHeight="true" outlineLevel="0" collapsed="false">
      <c r="A52" s="20" t="s">
        <v>668</v>
      </c>
      <c r="B52" s="20" t="n">
        <v>49</v>
      </c>
      <c r="C52" s="20" t="str">
        <f aca="false">Tasks!A49</f>
        <v>WL Dec W4 Over-allocated - Vishal plemployee</v>
      </c>
      <c r="D52" s="20" t="s">
        <v>262</v>
      </c>
      <c r="E52" s="20" t="str">
        <f aca="false">Tasks!C49</f>
        <v>Cancelled</v>
      </c>
      <c r="F52" s="20" t="str">
        <f aca="false">Tasks!O49</f>
        <v>%/day</v>
      </c>
      <c r="G52" s="21" t="n">
        <v>150</v>
      </c>
      <c r="H52" s="22" t="n">
        <f aca="false">IF(Tasks!F49="","",DATE(RIGHT(Tasks!F49,4),MID(Tasks!F49,4,2),LEFT(Tasks!F49,2)))</f>
        <v>46384</v>
      </c>
      <c r="I52" s="22" t="n">
        <f aca="false">IF(Tasks!G49="","",DATE(RIGHT(Tasks!G49,4),MID(Tasks!G49,4,2),LEFT(Tasks!G49,2)))</f>
        <v>46387</v>
      </c>
      <c r="J52" s="20" t="n">
        <f aca="false">IF(H52="",0,NETWORKDAYS(H52,I52))</f>
        <v>4</v>
      </c>
      <c r="K52" s="23" t="n">
        <f aca="false">IF(OR(H52="",J52=0),0,IF(F52="hrs/day",G52,IF(F52="%/day",G52/100*$B$1,G52/J52)))</f>
        <v>13.5</v>
      </c>
      <c r="L52" s="20" t="n">
        <f aca="false">IF(A52="Previous import",$B$2,1)</f>
        <v>1</v>
      </c>
      <c r="M52" s="20" t="n">
        <f aca="false">IF(OR(E52="Closed",E52="Cancelled"),1,0)</f>
        <v>1</v>
      </c>
      <c r="N52" s="23" t="n">
        <f aca="false">K52*J52*L52</f>
        <v>54</v>
      </c>
    </row>
    <row r="53" customFormat="false" ht="15" hidden="false" customHeight="true" outlineLevel="0" collapsed="false">
      <c r="A53" s="20" t="s">
        <v>668</v>
      </c>
      <c r="B53" s="20" t="n">
        <v>50</v>
      </c>
      <c r="C53" s="20" t="str">
        <f aca="false">Tasks!A50</f>
        <v>WL Oct W1 Over-allocated (1 of 2) - Vishal plreadonly</v>
      </c>
      <c r="D53" s="20" t="s">
        <v>298</v>
      </c>
      <c r="E53" s="20" t="str">
        <f aca="false">Tasks!C50</f>
        <v>Open</v>
      </c>
      <c r="F53" s="20" t="str">
        <f aca="false">Tasks!O50</f>
        <v>hrs/day</v>
      </c>
      <c r="G53" s="21" t="n">
        <v>6</v>
      </c>
      <c r="H53" s="22" t="n">
        <f aca="false">IF(Tasks!F50="","",DATE(RIGHT(Tasks!F50,4),MID(Tasks!F50,4,2),LEFT(Tasks!F50,2)))</f>
        <v>46300</v>
      </c>
      <c r="I53" s="22" t="n">
        <f aca="false">IF(Tasks!G50="","",DATE(RIGHT(Tasks!G50,4),MID(Tasks!G50,4,2),LEFT(Tasks!G50,2)))</f>
        <v>46304</v>
      </c>
      <c r="J53" s="20" t="n">
        <f aca="false">IF(H53="",0,NETWORKDAYS(H53,I53))</f>
        <v>5</v>
      </c>
      <c r="K53" s="23" t="n">
        <f aca="false">IF(OR(H53="",J53=0),0,IF(F53="hrs/day",G53,IF(F53="%/day",G53/100*$B$1,G53/J53)))</f>
        <v>6</v>
      </c>
      <c r="L53" s="20" t="n">
        <f aca="false">IF(A53="Previous import",$B$2,1)</f>
        <v>1</v>
      </c>
      <c r="M53" s="20" t="n">
        <f aca="false">IF(OR(E53="Closed",E53="Cancelled"),1,0)</f>
        <v>0</v>
      </c>
      <c r="N53" s="23" t="n">
        <f aca="false">K53*J53*L53</f>
        <v>30</v>
      </c>
    </row>
    <row r="54" customFormat="false" ht="15" hidden="false" customHeight="true" outlineLevel="0" collapsed="false">
      <c r="A54" s="20" t="s">
        <v>668</v>
      </c>
      <c r="B54" s="20" t="n">
        <v>51</v>
      </c>
      <c r="C54" s="20" t="str">
        <f aca="false">Tasks!A51</f>
        <v>WL Oct W1 Over-allocated (2 of 2) - Vishal plreadonly</v>
      </c>
      <c r="D54" s="20" t="s">
        <v>298</v>
      </c>
      <c r="E54" s="20" t="str">
        <f aca="false">Tasks!C51</f>
        <v>In Progress</v>
      </c>
      <c r="F54" s="20" t="str">
        <f aca="false">Tasks!O51</f>
        <v>hrs/day</v>
      </c>
      <c r="G54" s="21" t="n">
        <v>4.5</v>
      </c>
      <c r="H54" s="22" t="n">
        <f aca="false">IF(Tasks!F51="","",DATE(RIGHT(Tasks!F51,4),MID(Tasks!F51,4,2),LEFT(Tasks!F51,2)))</f>
        <v>46300</v>
      </c>
      <c r="I54" s="22" t="n">
        <f aca="false">IF(Tasks!G51="","",DATE(RIGHT(Tasks!G51,4),MID(Tasks!G51,4,2),LEFT(Tasks!G51,2)))</f>
        <v>46304</v>
      </c>
      <c r="J54" s="20" t="n">
        <f aca="false">IF(H54="",0,NETWORKDAYS(H54,I54))</f>
        <v>5</v>
      </c>
      <c r="K54" s="23" t="n">
        <f aca="false">IF(OR(H54="",J54=0),0,IF(F54="hrs/day",G54,IF(F54="%/day",G54/100*$B$1,G54/J54)))</f>
        <v>4.5</v>
      </c>
      <c r="L54" s="20" t="n">
        <f aca="false">IF(A54="Previous import",$B$2,1)</f>
        <v>1</v>
      </c>
      <c r="M54" s="20" t="n">
        <f aca="false">IF(OR(E54="Closed",E54="Cancelled"),1,0)</f>
        <v>0</v>
      </c>
      <c r="N54" s="23" t="n">
        <f aca="false">K54*J54*L54</f>
        <v>22.5</v>
      </c>
    </row>
    <row r="55" customFormat="false" ht="15" hidden="false" customHeight="true" outlineLevel="0" collapsed="false">
      <c r="A55" s="20" t="s">
        <v>668</v>
      </c>
      <c r="B55" s="20" t="n">
        <v>52</v>
      </c>
      <c r="C55" s="20" t="str">
        <f aca="false">Tasks!A52</f>
        <v>WL Oct W2 Optimally allocated - Vishal plreadonly</v>
      </c>
      <c r="D55" s="20" t="s">
        <v>298</v>
      </c>
      <c r="E55" s="20" t="str">
        <f aca="false">Tasks!C52</f>
        <v>In Review</v>
      </c>
      <c r="F55" s="20" t="str">
        <f aca="false">Tasks!O52</f>
        <v>hrs/day</v>
      </c>
      <c r="G55" s="21" t="n">
        <v>9</v>
      </c>
      <c r="H55" s="22" t="n">
        <f aca="false">IF(Tasks!F52="","",DATE(RIGHT(Tasks!F52,4),MID(Tasks!F52,4,2),LEFT(Tasks!F52,2)))</f>
        <v>46307</v>
      </c>
      <c r="I55" s="22" t="n">
        <f aca="false">IF(Tasks!G52="","",DATE(RIGHT(Tasks!G52,4),MID(Tasks!G52,4,2),LEFT(Tasks!G52,2)))</f>
        <v>46311</v>
      </c>
      <c r="J55" s="20" t="n">
        <f aca="false">IF(H55="",0,NETWORKDAYS(H55,I55))</f>
        <v>5</v>
      </c>
      <c r="K55" s="23" t="n">
        <f aca="false">IF(OR(H55="",J55=0),0,IF(F55="hrs/day",G55,IF(F55="%/day",G55/100*$B$1,G55/J55)))</f>
        <v>9</v>
      </c>
      <c r="L55" s="20" t="n">
        <f aca="false">IF(A55="Previous import",$B$2,1)</f>
        <v>1</v>
      </c>
      <c r="M55" s="20" t="n">
        <f aca="false">IF(OR(E55="Closed",E55="Cancelled"),1,0)</f>
        <v>0</v>
      </c>
      <c r="N55" s="23" t="n">
        <f aca="false">K55*J55*L55</f>
        <v>45</v>
      </c>
    </row>
    <row r="56" customFormat="false" ht="15" hidden="false" customHeight="true" outlineLevel="0" collapsed="false">
      <c r="A56" s="20" t="s">
        <v>668</v>
      </c>
      <c r="B56" s="20" t="n">
        <v>53</v>
      </c>
      <c r="C56" s="20" t="str">
        <f aca="false">Tasks!A53</f>
        <v>WL Oct W3 Under-allocated - Vishal plreadonly</v>
      </c>
      <c r="D56" s="20" t="s">
        <v>298</v>
      </c>
      <c r="E56" s="20" t="str">
        <f aca="false">Tasks!C53</f>
        <v>To be Tested</v>
      </c>
      <c r="F56" s="20" t="str">
        <f aca="false">Tasks!O53</f>
        <v>hrs/day</v>
      </c>
      <c r="G56" s="21" t="n">
        <v>4.5</v>
      </c>
      <c r="H56" s="22" t="n">
        <f aca="false">IF(Tasks!F53="","",DATE(RIGHT(Tasks!F53,4),MID(Tasks!F53,4,2),LEFT(Tasks!F53,2)))</f>
        <v>46314</v>
      </c>
      <c r="I56" s="22" t="n">
        <f aca="false">IF(Tasks!G53="","",DATE(RIGHT(Tasks!G53,4),MID(Tasks!G53,4,2),LEFT(Tasks!G53,2)))</f>
        <v>46318</v>
      </c>
      <c r="J56" s="20" t="n">
        <f aca="false">IF(H56="",0,NETWORKDAYS(H56,I56))</f>
        <v>5</v>
      </c>
      <c r="K56" s="23" t="n">
        <f aca="false">IF(OR(H56="",J56=0),0,IF(F56="hrs/day",G56,IF(F56="%/day",G56/100*$B$1,G56/J56)))</f>
        <v>4.5</v>
      </c>
      <c r="L56" s="20" t="n">
        <f aca="false">IF(A56="Previous import",$B$2,1)</f>
        <v>1</v>
      </c>
      <c r="M56" s="20" t="n">
        <f aca="false">IF(OR(E56="Closed",E56="Cancelled"),1,0)</f>
        <v>0</v>
      </c>
      <c r="N56" s="23" t="n">
        <f aca="false">K56*J56*L56</f>
        <v>22.5</v>
      </c>
    </row>
    <row r="57" customFormat="false" ht="15" hidden="false" customHeight="true" outlineLevel="0" collapsed="false">
      <c r="A57" s="20" t="s">
        <v>668</v>
      </c>
      <c r="B57" s="20" t="n">
        <v>54</v>
      </c>
      <c r="C57" s="20" t="str">
        <f aca="false">Tasks!A54</f>
        <v>WL Nov W1 Optimally allocated - Vishal plreadonly</v>
      </c>
      <c r="D57" s="20" t="s">
        <v>298</v>
      </c>
      <c r="E57" s="20" t="str">
        <f aca="false">Tasks!C54</f>
        <v>On Hold</v>
      </c>
      <c r="F57" s="20" t="str">
        <f aca="false">Tasks!O54</f>
        <v>hrs</v>
      </c>
      <c r="G57" s="21" t="n">
        <v>45</v>
      </c>
      <c r="H57" s="22" t="n">
        <f aca="false">IF(Tasks!F54="","",DATE(RIGHT(Tasks!F54,4),MID(Tasks!F54,4,2),LEFT(Tasks!F54,2)))</f>
        <v>46328</v>
      </c>
      <c r="I57" s="22" t="n">
        <f aca="false">IF(Tasks!G54="","",DATE(RIGHT(Tasks!G54,4),MID(Tasks!G54,4,2),LEFT(Tasks!G54,2)))</f>
        <v>46332</v>
      </c>
      <c r="J57" s="20" t="n">
        <f aca="false">IF(H57="",0,NETWORKDAYS(H57,I57))</f>
        <v>5</v>
      </c>
      <c r="K57" s="23" t="n">
        <f aca="false">IF(OR(H57="",J57=0),0,IF(F57="hrs/day",G57,IF(F57="%/day",G57/100*$B$1,G57/J57)))</f>
        <v>9</v>
      </c>
      <c r="L57" s="20" t="n">
        <f aca="false">IF(A57="Previous import",$B$2,1)</f>
        <v>1</v>
      </c>
      <c r="M57" s="20" t="n">
        <f aca="false">IF(OR(E57="Closed",E57="Cancelled"),1,0)</f>
        <v>0</v>
      </c>
      <c r="N57" s="23" t="n">
        <f aca="false">K57*J57*L57</f>
        <v>45</v>
      </c>
    </row>
    <row r="58" customFormat="false" ht="15" hidden="false" customHeight="true" outlineLevel="0" collapsed="false">
      <c r="A58" s="20" t="s">
        <v>668</v>
      </c>
      <c r="B58" s="20" t="n">
        <v>55</v>
      </c>
      <c r="C58" s="20" t="str">
        <f aca="false">Tasks!A55</f>
        <v>WL Nov W2 Under-allocated - Vishal plreadonly</v>
      </c>
      <c r="D58" s="20" t="s">
        <v>298</v>
      </c>
      <c r="E58" s="20" t="str">
        <f aca="false">Tasks!C55</f>
        <v>Delayed</v>
      </c>
      <c r="F58" s="20" t="str">
        <f aca="false">Tasks!O55</f>
        <v>hrs/day</v>
      </c>
      <c r="G58" s="21" t="n">
        <v>8.5</v>
      </c>
      <c r="H58" s="22" t="n">
        <f aca="false">IF(Tasks!F55="","",DATE(RIGHT(Tasks!F55,4),MID(Tasks!F55,4,2),LEFT(Tasks!F55,2)))</f>
        <v>46335</v>
      </c>
      <c r="I58" s="22" t="n">
        <f aca="false">IF(Tasks!G55="","",DATE(RIGHT(Tasks!G55,4),MID(Tasks!G55,4,2),LEFT(Tasks!G55,2)))</f>
        <v>46339</v>
      </c>
      <c r="J58" s="20" t="n">
        <f aca="false">IF(H58="",0,NETWORKDAYS(H58,I58))</f>
        <v>5</v>
      </c>
      <c r="K58" s="23" t="n">
        <f aca="false">IF(OR(H58="",J58=0),0,IF(F58="hrs/day",G58,IF(F58="%/day",G58/100*$B$1,G58/J58)))</f>
        <v>8.5</v>
      </c>
      <c r="L58" s="20" t="n">
        <f aca="false">IF(A58="Previous import",$B$2,1)</f>
        <v>1</v>
      </c>
      <c r="M58" s="20" t="n">
        <f aca="false">IF(OR(E58="Closed",E58="Cancelled"),1,0)</f>
        <v>0</v>
      </c>
      <c r="N58" s="23" t="n">
        <f aca="false">K58*J58*L58</f>
        <v>42.5</v>
      </c>
    </row>
    <row r="59" customFormat="false" ht="15" hidden="false" customHeight="true" outlineLevel="0" collapsed="false">
      <c r="A59" s="20" t="s">
        <v>668</v>
      </c>
      <c r="B59" s="20" t="n">
        <v>56</v>
      </c>
      <c r="C59" s="20" t="str">
        <f aca="false">Tasks!A56</f>
        <v>WL Nov W3 Unallocated - Vishal plreadonly</v>
      </c>
      <c r="D59" s="20" t="s">
        <v>298</v>
      </c>
      <c r="E59" s="20" t="str">
        <f aca="false">Tasks!C56</f>
        <v>Closed</v>
      </c>
      <c r="F59" s="20" t="str">
        <f aca="false">Tasks!O56</f>
        <v>hrs/day</v>
      </c>
      <c r="G59" s="21" t="n">
        <v>0</v>
      </c>
      <c r="H59" s="22" t="n">
        <f aca="false">IF(Tasks!F56="","",DATE(RIGHT(Tasks!F56,4),MID(Tasks!F56,4,2),LEFT(Tasks!F56,2)))</f>
        <v>46342</v>
      </c>
      <c r="I59" s="22" t="n">
        <f aca="false">IF(Tasks!G56="","",DATE(RIGHT(Tasks!G56,4),MID(Tasks!G56,4,2),LEFT(Tasks!G56,2)))</f>
        <v>46346</v>
      </c>
      <c r="J59" s="20" t="n">
        <f aca="false">IF(H59="",0,NETWORKDAYS(H59,I59))</f>
        <v>5</v>
      </c>
      <c r="K59" s="23" t="n">
        <f aca="false">IF(OR(H59="",J59=0),0,IF(F59="hrs/day",G59,IF(F59="%/day",G59/100*$B$1,G59/J59)))</f>
        <v>0</v>
      </c>
      <c r="L59" s="20" t="n">
        <f aca="false">IF(A59="Previous import",$B$2,1)</f>
        <v>1</v>
      </c>
      <c r="M59" s="20" t="n">
        <f aca="false">IF(OR(E59="Closed",E59="Cancelled"),1,0)</f>
        <v>1</v>
      </c>
      <c r="N59" s="23" t="n">
        <f aca="false">K59*J59*L59</f>
        <v>0</v>
      </c>
    </row>
    <row r="60" customFormat="false" ht="15" hidden="false" customHeight="true" outlineLevel="0" collapsed="false">
      <c r="A60" s="20" t="s">
        <v>668</v>
      </c>
      <c r="B60" s="20" t="n">
        <v>57</v>
      </c>
      <c r="C60" s="20" t="str">
        <f aca="false">Tasks!A57</f>
        <v>WL Nov W4 Over-allocated (1 of 2) - Vishal plreadonly</v>
      </c>
      <c r="D60" s="20" t="s">
        <v>298</v>
      </c>
      <c r="E60" s="20" t="str">
        <f aca="false">Tasks!C57</f>
        <v>Cancelled</v>
      </c>
      <c r="F60" s="20" t="str">
        <f aca="false">Tasks!O57</f>
        <v>hrs/day</v>
      </c>
      <c r="G60" s="21" t="n">
        <v>5</v>
      </c>
      <c r="H60" s="22" t="n">
        <f aca="false">IF(Tasks!F57="","",DATE(RIGHT(Tasks!F57,4),MID(Tasks!F57,4,2),LEFT(Tasks!F57,2)))</f>
        <v>46349</v>
      </c>
      <c r="I60" s="22" t="n">
        <f aca="false">IF(Tasks!G57="","",DATE(RIGHT(Tasks!G57,4),MID(Tasks!G57,4,2),LEFT(Tasks!G57,2)))</f>
        <v>46353</v>
      </c>
      <c r="J60" s="20" t="n">
        <f aca="false">IF(H60="",0,NETWORKDAYS(H60,I60))</f>
        <v>5</v>
      </c>
      <c r="K60" s="23" t="n">
        <f aca="false">IF(OR(H60="",J60=0),0,IF(F60="hrs/day",G60,IF(F60="%/day",G60/100*$B$1,G60/J60)))</f>
        <v>5</v>
      </c>
      <c r="L60" s="20" t="n">
        <f aca="false">IF(A60="Previous import",$B$2,1)</f>
        <v>1</v>
      </c>
      <c r="M60" s="20" t="n">
        <f aca="false">IF(OR(E60="Closed",E60="Cancelled"),1,0)</f>
        <v>1</v>
      </c>
      <c r="N60" s="23" t="n">
        <f aca="false">K60*J60*L60</f>
        <v>25</v>
      </c>
    </row>
    <row r="61" customFormat="false" ht="15" hidden="false" customHeight="true" outlineLevel="0" collapsed="false">
      <c r="A61" s="20" t="s">
        <v>668</v>
      </c>
      <c r="B61" s="20" t="n">
        <v>58</v>
      </c>
      <c r="C61" s="20" t="str">
        <f aca="false">Tasks!A58</f>
        <v>WL Nov W4 Over-allocated (2 of 2) - Vishal plreadonly</v>
      </c>
      <c r="D61" s="20" t="s">
        <v>298</v>
      </c>
      <c r="E61" s="20" t="str">
        <f aca="false">Tasks!C58</f>
        <v>Open</v>
      </c>
      <c r="F61" s="20" t="str">
        <f aca="false">Tasks!O58</f>
        <v>%/day</v>
      </c>
      <c r="G61" s="21" t="n">
        <v>50</v>
      </c>
      <c r="H61" s="22" t="n">
        <f aca="false">IF(Tasks!F58="","",DATE(RIGHT(Tasks!F58,4),MID(Tasks!F58,4,2),LEFT(Tasks!F58,2)))</f>
        <v>46349</v>
      </c>
      <c r="I61" s="22" t="n">
        <f aca="false">IF(Tasks!G58="","",DATE(RIGHT(Tasks!G58,4),MID(Tasks!G58,4,2),LEFT(Tasks!G58,2)))</f>
        <v>46353</v>
      </c>
      <c r="J61" s="20" t="n">
        <f aca="false">IF(H61="",0,NETWORKDAYS(H61,I61))</f>
        <v>5</v>
      </c>
      <c r="K61" s="23" t="n">
        <f aca="false">IF(OR(H61="",J61=0),0,IF(F61="hrs/day",G61,IF(F61="%/day",G61/100*$B$1,G61/J61)))</f>
        <v>4.5</v>
      </c>
      <c r="L61" s="20" t="n">
        <f aca="false">IF(A61="Previous import",$B$2,1)</f>
        <v>1</v>
      </c>
      <c r="M61" s="20" t="n">
        <f aca="false">IF(OR(E61="Closed",E61="Cancelled"),1,0)</f>
        <v>0</v>
      </c>
      <c r="N61" s="23" t="n">
        <f aca="false">K61*J61*L61</f>
        <v>22.5</v>
      </c>
    </row>
    <row r="62" customFormat="false" ht="15" hidden="false" customHeight="true" outlineLevel="0" collapsed="false">
      <c r="A62" s="20" t="s">
        <v>668</v>
      </c>
      <c r="B62" s="20" t="n">
        <v>59</v>
      </c>
      <c r="C62" s="20" t="str">
        <f aca="false">Tasks!A59</f>
        <v>WL Dec W1 Under-allocated - Vishal plreadonly</v>
      </c>
      <c r="D62" s="20" t="s">
        <v>298</v>
      </c>
      <c r="E62" s="20" t="str">
        <f aca="false">Tasks!C59</f>
        <v>In Progress</v>
      </c>
      <c r="F62" s="20" t="str">
        <f aca="false">Tasks!O59</f>
        <v>hrs</v>
      </c>
      <c r="G62" s="21" t="n">
        <v>15</v>
      </c>
      <c r="H62" s="22" t="n">
        <f aca="false">IF(Tasks!F59="","",DATE(RIGHT(Tasks!F59,4),MID(Tasks!F59,4,2),LEFT(Tasks!F59,2)))</f>
        <v>46363</v>
      </c>
      <c r="I62" s="22" t="n">
        <f aca="false">IF(Tasks!G59="","",DATE(RIGHT(Tasks!G59,4),MID(Tasks!G59,4,2),LEFT(Tasks!G59,2)))</f>
        <v>46367</v>
      </c>
      <c r="J62" s="20" t="n">
        <f aca="false">IF(H62="",0,NETWORKDAYS(H62,I62))</f>
        <v>5</v>
      </c>
      <c r="K62" s="23" t="n">
        <f aca="false">IF(OR(H62="",J62=0),0,IF(F62="hrs/day",G62,IF(F62="%/day",G62/100*$B$1,G62/J62)))</f>
        <v>3</v>
      </c>
      <c r="L62" s="20" t="n">
        <f aca="false">IF(A62="Previous import",$B$2,1)</f>
        <v>1</v>
      </c>
      <c r="M62" s="20" t="n">
        <f aca="false">IF(OR(E62="Closed",E62="Cancelled"),1,0)</f>
        <v>0</v>
      </c>
      <c r="N62" s="23" t="n">
        <f aca="false">K62*J62*L62</f>
        <v>15</v>
      </c>
    </row>
    <row r="63" customFormat="false" ht="15" hidden="false" customHeight="true" outlineLevel="0" collapsed="false">
      <c r="A63" s="20" t="s">
        <v>668</v>
      </c>
      <c r="B63" s="20" t="n">
        <v>60</v>
      </c>
      <c r="C63" s="20" t="str">
        <f aca="false">Tasks!A60</f>
        <v>WL Dec W3 Over-allocated - Vishal plreadonly</v>
      </c>
      <c r="D63" s="20" t="s">
        <v>298</v>
      </c>
      <c r="E63" s="20" t="str">
        <f aca="false">Tasks!C60</f>
        <v>In Review</v>
      </c>
      <c r="F63" s="20" t="str">
        <f aca="false">Tasks!O60</f>
        <v>hrs</v>
      </c>
      <c r="G63" s="21" t="n">
        <v>60</v>
      </c>
      <c r="H63" s="22" t="n">
        <f aca="false">IF(Tasks!F60="","",DATE(RIGHT(Tasks!F60,4),MID(Tasks!F60,4,2),LEFT(Tasks!F60,2)))</f>
        <v>46377</v>
      </c>
      <c r="I63" s="22" t="n">
        <f aca="false">IF(Tasks!G60="","",DATE(RIGHT(Tasks!G60,4),MID(Tasks!G60,4,2),LEFT(Tasks!G60,2)))</f>
        <v>46381</v>
      </c>
      <c r="J63" s="20" t="n">
        <f aca="false">IF(H63="",0,NETWORKDAYS(H63,I63))</f>
        <v>5</v>
      </c>
      <c r="K63" s="23" t="n">
        <f aca="false">IF(OR(H63="",J63=0),0,IF(F63="hrs/day",G63,IF(F63="%/day",G63/100*$B$1,G63/J63)))</f>
        <v>12</v>
      </c>
      <c r="L63" s="20" t="n">
        <f aca="false">IF(A63="Previous import",$B$2,1)</f>
        <v>1</v>
      </c>
      <c r="M63" s="20" t="n">
        <f aca="false">IF(OR(E63="Closed",E63="Cancelled"),1,0)</f>
        <v>0</v>
      </c>
      <c r="N63" s="23" t="n">
        <f aca="false">K63*J63*L63</f>
        <v>60</v>
      </c>
    </row>
    <row r="64" customFormat="false" ht="15" hidden="false" customHeight="true" outlineLevel="0" collapsed="false">
      <c r="A64" s="20" t="s">
        <v>668</v>
      </c>
      <c r="B64" s="20" t="n">
        <v>61</v>
      </c>
      <c r="C64" s="20" t="str">
        <f aca="false">Tasks!A61</f>
        <v>WL Dec W4 Optimally allocated (1 of 2) - Vishal plreadonly</v>
      </c>
      <c r="D64" s="20" t="s">
        <v>298</v>
      </c>
      <c r="E64" s="20" t="str">
        <f aca="false">Tasks!C61</f>
        <v>To be Tested</v>
      </c>
      <c r="F64" s="20" t="str">
        <f aca="false">Tasks!O61</f>
        <v>hrs</v>
      </c>
      <c r="G64" s="21" t="n">
        <v>18</v>
      </c>
      <c r="H64" s="22" t="n">
        <f aca="false">IF(Tasks!F61="","",DATE(RIGHT(Tasks!F61,4),MID(Tasks!F61,4,2),LEFT(Tasks!F61,2)))</f>
        <v>46384</v>
      </c>
      <c r="I64" s="22" t="n">
        <f aca="false">IF(Tasks!G61="","",DATE(RIGHT(Tasks!G61,4),MID(Tasks!G61,4,2),LEFT(Tasks!G61,2)))</f>
        <v>46387</v>
      </c>
      <c r="J64" s="20" t="n">
        <f aca="false">IF(H64="",0,NETWORKDAYS(H64,I64))</f>
        <v>4</v>
      </c>
      <c r="K64" s="23" t="n">
        <f aca="false">IF(OR(H64="",J64=0),0,IF(F64="hrs/day",G64,IF(F64="%/day",G64/100*$B$1,G64/J64)))</f>
        <v>4.5</v>
      </c>
      <c r="L64" s="20" t="n">
        <f aca="false">IF(A64="Previous import",$B$2,1)</f>
        <v>1</v>
      </c>
      <c r="M64" s="20" t="n">
        <f aca="false">IF(OR(E64="Closed",E64="Cancelled"),1,0)</f>
        <v>0</v>
      </c>
      <c r="N64" s="23" t="n">
        <f aca="false">K64*J64*L64</f>
        <v>18</v>
      </c>
    </row>
    <row r="65" customFormat="false" ht="15" hidden="false" customHeight="true" outlineLevel="0" collapsed="false">
      <c r="A65" s="20" t="s">
        <v>668</v>
      </c>
      <c r="B65" s="20" t="n">
        <v>62</v>
      </c>
      <c r="C65" s="20" t="str">
        <f aca="false">Tasks!A62</f>
        <v>WL Dec W4 Optimally allocated (2 of 2) - Vishal plreadonly</v>
      </c>
      <c r="D65" s="20" t="s">
        <v>298</v>
      </c>
      <c r="E65" s="20" t="str">
        <f aca="false">Tasks!C62</f>
        <v>On Hold</v>
      </c>
      <c r="F65" s="20" t="str">
        <f aca="false">Tasks!O62</f>
        <v>hrs/day</v>
      </c>
      <c r="G65" s="21" t="n">
        <v>4.5</v>
      </c>
      <c r="H65" s="22" t="n">
        <f aca="false">IF(Tasks!F62="","",DATE(RIGHT(Tasks!F62,4),MID(Tasks!F62,4,2),LEFT(Tasks!F62,2)))</f>
        <v>46384</v>
      </c>
      <c r="I65" s="22" t="n">
        <f aca="false">IF(Tasks!G62="","",DATE(RIGHT(Tasks!G62,4),MID(Tasks!G62,4,2),LEFT(Tasks!G62,2)))</f>
        <v>46387</v>
      </c>
      <c r="J65" s="20" t="n">
        <f aca="false">IF(H65="",0,NETWORKDAYS(H65,I65))</f>
        <v>4</v>
      </c>
      <c r="K65" s="23" t="n">
        <f aca="false">IF(OR(H65="",J65=0),0,IF(F65="hrs/day",G65,IF(F65="%/day",G65/100*$B$1,G65/J65)))</f>
        <v>4.5</v>
      </c>
      <c r="L65" s="20" t="n">
        <f aca="false">IF(A65="Previous import",$B$2,1)</f>
        <v>1</v>
      </c>
      <c r="M65" s="20" t="n">
        <f aca="false">IF(OR(E65="Closed",E65="Cancelled"),1,0)</f>
        <v>0</v>
      </c>
      <c r="N65" s="23" t="n">
        <f aca="false">K65*J65*L65</f>
        <v>18</v>
      </c>
    </row>
    <row r="66" customFormat="false" ht="15" hidden="false" customHeight="true" outlineLevel="0" collapsed="false">
      <c r="A66" s="20" t="s">
        <v>668</v>
      </c>
      <c r="B66" s="20" t="n">
        <v>63</v>
      </c>
      <c r="C66" s="20" t="str">
        <f aca="false">Tasks!A63</f>
        <v>WL Oct W1 Optimally allocated - Vishal liteuser</v>
      </c>
      <c r="D66" s="20" t="s">
        <v>333</v>
      </c>
      <c r="E66" s="20" t="str">
        <f aca="false">Tasks!C63</f>
        <v>Delayed</v>
      </c>
      <c r="F66" s="20" t="str">
        <f aca="false">Tasks!O63</f>
        <v>%/day</v>
      </c>
      <c r="G66" s="21" t="n">
        <v>100</v>
      </c>
      <c r="H66" s="22" t="n">
        <f aca="false">IF(Tasks!F63="","",DATE(RIGHT(Tasks!F63,4),MID(Tasks!F63,4,2),LEFT(Tasks!F63,2)))</f>
        <v>46300</v>
      </c>
      <c r="I66" s="22" t="n">
        <f aca="false">IF(Tasks!G63="","",DATE(RIGHT(Tasks!G63,4),MID(Tasks!G63,4,2),LEFT(Tasks!G63,2)))</f>
        <v>46304</v>
      </c>
      <c r="J66" s="20" t="n">
        <f aca="false">IF(H66="",0,NETWORKDAYS(H66,I66))</f>
        <v>5</v>
      </c>
      <c r="K66" s="23" t="n">
        <f aca="false">IF(OR(H66="",J66=0),0,IF(F66="hrs/day",G66,IF(F66="%/day",G66/100*$B$1,G66/J66)))</f>
        <v>9</v>
      </c>
      <c r="L66" s="20" t="n">
        <f aca="false">IF(A66="Previous import",$B$2,1)</f>
        <v>1</v>
      </c>
      <c r="M66" s="20" t="n">
        <f aca="false">IF(OR(E66="Closed",E66="Cancelled"),1,0)</f>
        <v>0</v>
      </c>
      <c r="N66" s="23" t="n">
        <f aca="false">K66*J66*L66</f>
        <v>45</v>
      </c>
    </row>
    <row r="67" customFormat="false" ht="15" hidden="false" customHeight="true" outlineLevel="0" collapsed="false">
      <c r="A67" s="20" t="s">
        <v>668</v>
      </c>
      <c r="B67" s="20" t="n">
        <v>64</v>
      </c>
      <c r="C67" s="20" t="str">
        <f aca="false">Tasks!A64</f>
        <v>WL Oct W2 Under-allocated - Vishal liteuser</v>
      </c>
      <c r="D67" s="20" t="s">
        <v>333</v>
      </c>
      <c r="E67" s="20" t="str">
        <f aca="false">Tasks!C64</f>
        <v>Closed</v>
      </c>
      <c r="F67" s="20" t="str">
        <f aca="false">Tasks!O64</f>
        <v>%/day</v>
      </c>
      <c r="G67" s="21" t="n">
        <v>25</v>
      </c>
      <c r="H67" s="22" t="n">
        <f aca="false">IF(Tasks!F64="","",DATE(RIGHT(Tasks!F64,4),MID(Tasks!F64,4,2),LEFT(Tasks!F64,2)))</f>
        <v>46307</v>
      </c>
      <c r="I67" s="22" t="n">
        <f aca="false">IF(Tasks!G64="","",DATE(RIGHT(Tasks!G64,4),MID(Tasks!G64,4,2),LEFT(Tasks!G64,2)))</f>
        <v>46311</v>
      </c>
      <c r="J67" s="20" t="n">
        <f aca="false">IF(H67="",0,NETWORKDAYS(H67,I67))</f>
        <v>5</v>
      </c>
      <c r="K67" s="23" t="n">
        <f aca="false">IF(OR(H67="",J67=0),0,IF(F67="hrs/day",G67,IF(F67="%/day",G67/100*$B$1,G67/J67)))</f>
        <v>2.25</v>
      </c>
      <c r="L67" s="20" t="n">
        <f aca="false">IF(A67="Previous import",$B$2,1)</f>
        <v>1</v>
      </c>
      <c r="M67" s="20" t="n">
        <f aca="false">IF(OR(E67="Closed",E67="Cancelled"),1,0)</f>
        <v>1</v>
      </c>
      <c r="N67" s="23" t="n">
        <f aca="false">K67*J67*L67</f>
        <v>11.25</v>
      </c>
    </row>
    <row r="68" customFormat="false" ht="15" hidden="false" customHeight="true" outlineLevel="0" collapsed="false">
      <c r="A68" s="20" t="s">
        <v>668</v>
      </c>
      <c r="B68" s="20" t="n">
        <v>65</v>
      </c>
      <c r="C68" s="20" t="str">
        <f aca="false">Tasks!A65</f>
        <v>WL Oct W4 Over-allocated - Vishal liteuser</v>
      </c>
      <c r="D68" s="20" t="s">
        <v>333</v>
      </c>
      <c r="E68" s="20" t="str">
        <f aca="false">Tasks!C65</f>
        <v>Cancelled</v>
      </c>
      <c r="F68" s="20" t="str">
        <f aca="false">Tasks!O65</f>
        <v>%/day</v>
      </c>
      <c r="G68" s="21" t="n">
        <v>150</v>
      </c>
      <c r="H68" s="22" t="n">
        <f aca="false">IF(Tasks!F65="","",DATE(RIGHT(Tasks!F65,4),MID(Tasks!F65,4,2),LEFT(Tasks!F65,2)))</f>
        <v>46321</v>
      </c>
      <c r="I68" s="22" t="n">
        <f aca="false">IF(Tasks!G65="","",DATE(RIGHT(Tasks!G65,4),MID(Tasks!G65,4,2),LEFT(Tasks!G65,2)))</f>
        <v>46325</v>
      </c>
      <c r="J68" s="20" t="n">
        <f aca="false">IF(H68="",0,NETWORKDAYS(H68,I68))</f>
        <v>5</v>
      </c>
      <c r="K68" s="23" t="n">
        <f aca="false">IF(OR(H68="",J68=0),0,IF(F68="hrs/day",G68,IF(F68="%/day",G68/100*$B$1,G68/J68)))</f>
        <v>13.5</v>
      </c>
      <c r="L68" s="20" t="n">
        <f aca="false">IF(A68="Previous import",$B$2,1)</f>
        <v>1</v>
      </c>
      <c r="M68" s="20" t="n">
        <f aca="false">IF(OR(E68="Closed",E68="Cancelled"),1,0)</f>
        <v>1</v>
      </c>
      <c r="N68" s="23" t="n">
        <f aca="false">K68*J68*L68</f>
        <v>67.5</v>
      </c>
    </row>
    <row r="69" customFormat="false" ht="15" hidden="false" customHeight="true" outlineLevel="0" collapsed="false">
      <c r="A69" s="20" t="s">
        <v>668</v>
      </c>
      <c r="B69" s="20" t="n">
        <v>66</v>
      </c>
      <c r="C69" s="20" t="str">
        <f aca="false">Tasks!A66</f>
        <v>WL Nov W1 Under-allocated - Vishal liteuser</v>
      </c>
      <c r="D69" s="20" t="s">
        <v>333</v>
      </c>
      <c r="E69" s="20" t="str">
        <f aca="false">Tasks!C66</f>
        <v>Open</v>
      </c>
      <c r="F69" s="20" t="str">
        <f aca="false">Tasks!O66</f>
        <v>hrs/day</v>
      </c>
      <c r="G69" s="21" t="n">
        <v>4.5</v>
      </c>
      <c r="H69" s="22" t="n">
        <f aca="false">IF(Tasks!F66="","",DATE(RIGHT(Tasks!F66,4),MID(Tasks!F66,4,2),LEFT(Tasks!F66,2)))</f>
        <v>46328</v>
      </c>
      <c r="I69" s="22" t="n">
        <f aca="false">IF(Tasks!G66="","",DATE(RIGHT(Tasks!G66,4),MID(Tasks!G66,4,2),LEFT(Tasks!G66,2)))</f>
        <v>46332</v>
      </c>
      <c r="J69" s="20" t="n">
        <f aca="false">IF(H69="",0,NETWORKDAYS(H69,I69))</f>
        <v>5</v>
      </c>
      <c r="K69" s="23" t="n">
        <f aca="false">IF(OR(H69="",J69=0),0,IF(F69="hrs/day",G69,IF(F69="%/day",G69/100*$B$1,G69/J69)))</f>
        <v>4.5</v>
      </c>
      <c r="L69" s="20" t="n">
        <f aca="false">IF(A69="Previous import",$B$2,1)</f>
        <v>1</v>
      </c>
      <c r="M69" s="20" t="n">
        <f aca="false">IF(OR(E69="Closed",E69="Cancelled"),1,0)</f>
        <v>0</v>
      </c>
      <c r="N69" s="23" t="n">
        <f aca="false">K69*J69*L69</f>
        <v>22.5</v>
      </c>
    </row>
    <row r="70" customFormat="false" ht="15" hidden="false" customHeight="true" outlineLevel="0" collapsed="false">
      <c r="A70" s="20" t="s">
        <v>668</v>
      </c>
      <c r="B70" s="20" t="n">
        <v>67</v>
      </c>
      <c r="C70" s="20" t="str">
        <f aca="false">Tasks!A67</f>
        <v>WL Nov W3 Over-allocated (1 of 2) - Vishal liteuser</v>
      </c>
      <c r="D70" s="20" t="s">
        <v>333</v>
      </c>
      <c r="E70" s="20" t="str">
        <f aca="false">Tasks!C67</f>
        <v>In Progress</v>
      </c>
      <c r="F70" s="20" t="str">
        <f aca="false">Tasks!O67</f>
        <v>hrs/day</v>
      </c>
      <c r="G70" s="21" t="n">
        <v>6</v>
      </c>
      <c r="H70" s="22" t="n">
        <f aca="false">IF(Tasks!F67="","",DATE(RIGHT(Tasks!F67,4),MID(Tasks!F67,4,2),LEFT(Tasks!F67,2)))</f>
        <v>46342</v>
      </c>
      <c r="I70" s="22" t="n">
        <f aca="false">IF(Tasks!G67="","",DATE(RIGHT(Tasks!G67,4),MID(Tasks!G67,4,2),LEFT(Tasks!G67,2)))</f>
        <v>46346</v>
      </c>
      <c r="J70" s="20" t="n">
        <f aca="false">IF(H70="",0,NETWORKDAYS(H70,I70))</f>
        <v>5</v>
      </c>
      <c r="K70" s="23" t="n">
        <f aca="false">IF(OR(H70="",J70=0),0,IF(F70="hrs/day",G70,IF(F70="%/day",G70/100*$B$1,G70/J70)))</f>
        <v>6</v>
      </c>
      <c r="L70" s="20" t="n">
        <f aca="false">IF(A70="Previous import",$B$2,1)</f>
        <v>1</v>
      </c>
      <c r="M70" s="20" t="n">
        <f aca="false">IF(OR(E70="Closed",E70="Cancelled"),1,0)</f>
        <v>0</v>
      </c>
      <c r="N70" s="23" t="n">
        <f aca="false">K70*J70*L70</f>
        <v>30</v>
      </c>
    </row>
    <row r="71" customFormat="false" ht="15" hidden="false" customHeight="true" outlineLevel="0" collapsed="false">
      <c r="A71" s="20" t="s">
        <v>668</v>
      </c>
      <c r="B71" s="20" t="n">
        <v>68</v>
      </c>
      <c r="C71" s="20" t="str">
        <f aca="false">Tasks!A68</f>
        <v>WL Nov W3 Over-allocated (2 of 2) - Vishal liteuser</v>
      </c>
      <c r="D71" s="20" t="s">
        <v>333</v>
      </c>
      <c r="E71" s="20" t="str">
        <f aca="false">Tasks!C68</f>
        <v>In Review</v>
      </c>
      <c r="F71" s="20" t="str">
        <f aca="false">Tasks!O68</f>
        <v>hrs/day</v>
      </c>
      <c r="G71" s="21" t="n">
        <v>4.5</v>
      </c>
      <c r="H71" s="22" t="n">
        <f aca="false">IF(Tasks!F68="","",DATE(RIGHT(Tasks!F68,4),MID(Tasks!F68,4,2),LEFT(Tasks!F68,2)))</f>
        <v>46342</v>
      </c>
      <c r="I71" s="22" t="n">
        <f aca="false">IF(Tasks!G68="","",DATE(RIGHT(Tasks!G68,4),MID(Tasks!G68,4,2),LEFT(Tasks!G68,2)))</f>
        <v>46346</v>
      </c>
      <c r="J71" s="20" t="n">
        <f aca="false">IF(H71="",0,NETWORKDAYS(H71,I71))</f>
        <v>5</v>
      </c>
      <c r="K71" s="23" t="n">
        <f aca="false">IF(OR(H71="",J71=0),0,IF(F71="hrs/day",G71,IF(F71="%/day",G71/100*$B$1,G71/J71)))</f>
        <v>4.5</v>
      </c>
      <c r="L71" s="20" t="n">
        <f aca="false">IF(A71="Previous import",$B$2,1)</f>
        <v>1</v>
      </c>
      <c r="M71" s="20" t="n">
        <f aca="false">IF(OR(E71="Closed",E71="Cancelled"),1,0)</f>
        <v>0</v>
      </c>
      <c r="N71" s="23" t="n">
        <f aca="false">K71*J71*L71</f>
        <v>22.5</v>
      </c>
    </row>
    <row r="72" customFormat="false" ht="15" hidden="false" customHeight="true" outlineLevel="0" collapsed="false">
      <c r="A72" s="20" t="s">
        <v>668</v>
      </c>
      <c r="B72" s="20" t="n">
        <v>69</v>
      </c>
      <c r="C72" s="20" t="str">
        <f aca="false">Tasks!A69</f>
        <v>WL Nov W4 Optimally allocated - Vishal liteuser</v>
      </c>
      <c r="D72" s="20" t="s">
        <v>333</v>
      </c>
      <c r="E72" s="20" t="str">
        <f aca="false">Tasks!C69</f>
        <v>To be Tested</v>
      </c>
      <c r="F72" s="20" t="str">
        <f aca="false">Tasks!O69</f>
        <v>hrs/day</v>
      </c>
      <c r="G72" s="21" t="n">
        <v>9</v>
      </c>
      <c r="H72" s="22" t="n">
        <f aca="false">IF(Tasks!F69="","",DATE(RIGHT(Tasks!F69,4),MID(Tasks!F69,4,2),LEFT(Tasks!F69,2)))</f>
        <v>46349</v>
      </c>
      <c r="I72" s="22" t="n">
        <f aca="false">IF(Tasks!G69="","",DATE(RIGHT(Tasks!G69,4),MID(Tasks!G69,4,2),LEFT(Tasks!G69,2)))</f>
        <v>46353</v>
      </c>
      <c r="J72" s="20" t="n">
        <f aca="false">IF(H72="",0,NETWORKDAYS(H72,I72))</f>
        <v>5</v>
      </c>
      <c r="K72" s="23" t="n">
        <f aca="false">IF(OR(H72="",J72=0),0,IF(F72="hrs/day",G72,IF(F72="%/day",G72/100*$B$1,G72/J72)))</f>
        <v>9</v>
      </c>
      <c r="L72" s="20" t="n">
        <f aca="false">IF(A72="Previous import",$B$2,1)</f>
        <v>1</v>
      </c>
      <c r="M72" s="20" t="n">
        <f aca="false">IF(OR(E72="Closed",E72="Cancelled"),1,0)</f>
        <v>0</v>
      </c>
      <c r="N72" s="23" t="n">
        <f aca="false">K72*J72*L72</f>
        <v>45</v>
      </c>
    </row>
    <row r="73" customFormat="false" ht="15" hidden="false" customHeight="true" outlineLevel="0" collapsed="false">
      <c r="A73" s="20" t="s">
        <v>668</v>
      </c>
      <c r="B73" s="20" t="n">
        <v>70</v>
      </c>
      <c r="C73" s="20" t="str">
        <f aca="false">Tasks!A70</f>
        <v>WL Dec W1 Unallocated - Vishal liteuser</v>
      </c>
      <c r="D73" s="20" t="s">
        <v>333</v>
      </c>
      <c r="E73" s="20" t="str">
        <f aca="false">Tasks!C70</f>
        <v>On Hold</v>
      </c>
      <c r="F73" s="20" t="str">
        <f aca="false">Tasks!O70</f>
        <v>hrs/day</v>
      </c>
      <c r="G73" s="21" t="n">
        <v>0</v>
      </c>
      <c r="H73" s="22" t="n">
        <f aca="false">IF(Tasks!F70="","",DATE(RIGHT(Tasks!F70,4),MID(Tasks!F70,4,2),LEFT(Tasks!F70,2)))</f>
        <v>46363</v>
      </c>
      <c r="I73" s="22" t="n">
        <f aca="false">IF(Tasks!G70="","",DATE(RIGHT(Tasks!G70,4),MID(Tasks!G70,4,2),LEFT(Tasks!G70,2)))</f>
        <v>46367</v>
      </c>
      <c r="J73" s="20" t="n">
        <f aca="false">IF(H73="",0,NETWORKDAYS(H73,I73))</f>
        <v>5</v>
      </c>
      <c r="K73" s="23" t="n">
        <f aca="false">IF(OR(H73="",J73=0),0,IF(F73="hrs/day",G73,IF(F73="%/day",G73/100*$B$1,G73/J73)))</f>
        <v>0</v>
      </c>
      <c r="L73" s="20" t="n">
        <f aca="false">IF(A73="Previous import",$B$2,1)</f>
        <v>1</v>
      </c>
      <c r="M73" s="20" t="n">
        <f aca="false">IF(OR(E73="Closed",E73="Cancelled"),1,0)</f>
        <v>0</v>
      </c>
      <c r="N73" s="23" t="n">
        <f aca="false">K73*J73*L73</f>
        <v>0</v>
      </c>
    </row>
    <row r="74" customFormat="false" ht="15" hidden="false" customHeight="true" outlineLevel="0" collapsed="false">
      <c r="A74" s="20" t="s">
        <v>668</v>
      </c>
      <c r="B74" s="20" t="n">
        <v>71</v>
      </c>
      <c r="C74" s="20" t="str">
        <f aca="false">Tasks!A71</f>
        <v>WL Dec W2 Over-allocated (1 of 2) - Vishal liteuser</v>
      </c>
      <c r="D74" s="20" t="s">
        <v>333</v>
      </c>
      <c r="E74" s="20" t="str">
        <f aca="false">Tasks!C71</f>
        <v>Delayed</v>
      </c>
      <c r="F74" s="20" t="str">
        <f aca="false">Tasks!O71</f>
        <v>hrs/day</v>
      </c>
      <c r="G74" s="21" t="n">
        <v>5</v>
      </c>
      <c r="H74" s="22" t="n">
        <f aca="false">IF(Tasks!F71="","",DATE(RIGHT(Tasks!F71,4),MID(Tasks!F71,4,2),LEFT(Tasks!F71,2)))</f>
        <v>46370</v>
      </c>
      <c r="I74" s="22" t="n">
        <f aca="false">IF(Tasks!G71="","",DATE(RIGHT(Tasks!G71,4),MID(Tasks!G71,4,2),LEFT(Tasks!G71,2)))</f>
        <v>46374</v>
      </c>
      <c r="J74" s="20" t="n">
        <f aca="false">IF(H74="",0,NETWORKDAYS(H74,I74))</f>
        <v>5</v>
      </c>
      <c r="K74" s="23" t="n">
        <f aca="false">IF(OR(H74="",J74=0),0,IF(F74="hrs/day",G74,IF(F74="%/day",G74/100*$B$1,G74/J74)))</f>
        <v>5</v>
      </c>
      <c r="L74" s="20" t="n">
        <f aca="false">IF(A74="Previous import",$B$2,1)</f>
        <v>1</v>
      </c>
      <c r="M74" s="20" t="n">
        <f aca="false">IF(OR(E74="Closed",E74="Cancelled"),1,0)</f>
        <v>0</v>
      </c>
      <c r="N74" s="23" t="n">
        <f aca="false">K74*J74*L74</f>
        <v>25</v>
      </c>
    </row>
    <row r="75" customFormat="false" ht="15" hidden="false" customHeight="true" outlineLevel="0" collapsed="false">
      <c r="A75" s="20" t="s">
        <v>668</v>
      </c>
      <c r="B75" s="20" t="n">
        <v>72</v>
      </c>
      <c r="C75" s="20" t="str">
        <f aca="false">Tasks!A72</f>
        <v>WL Dec W2 Over-allocated (2 of 2) - Vishal liteuser</v>
      </c>
      <c r="D75" s="20" t="s">
        <v>333</v>
      </c>
      <c r="E75" s="20" t="str">
        <f aca="false">Tasks!C72</f>
        <v>Closed</v>
      </c>
      <c r="F75" s="20" t="str">
        <f aca="false">Tasks!O72</f>
        <v>%/day</v>
      </c>
      <c r="G75" s="21" t="n">
        <v>50</v>
      </c>
      <c r="H75" s="22" t="n">
        <f aca="false">IF(Tasks!F72="","",DATE(RIGHT(Tasks!F72,4),MID(Tasks!F72,4,2),LEFT(Tasks!F72,2)))</f>
        <v>46370</v>
      </c>
      <c r="I75" s="22" t="n">
        <f aca="false">IF(Tasks!G72="","",DATE(RIGHT(Tasks!G72,4),MID(Tasks!G72,4,2),LEFT(Tasks!G72,2)))</f>
        <v>46374</v>
      </c>
      <c r="J75" s="20" t="n">
        <f aca="false">IF(H75="",0,NETWORKDAYS(H75,I75))</f>
        <v>5</v>
      </c>
      <c r="K75" s="23" t="n">
        <f aca="false">IF(OR(H75="",J75=0),0,IF(F75="hrs/day",G75,IF(F75="%/day",G75/100*$B$1,G75/J75)))</f>
        <v>4.5</v>
      </c>
      <c r="L75" s="20" t="n">
        <f aca="false">IF(A75="Previous import",$B$2,1)</f>
        <v>1</v>
      </c>
      <c r="M75" s="20" t="n">
        <f aca="false">IF(OR(E75="Closed",E75="Cancelled"),1,0)</f>
        <v>1</v>
      </c>
      <c r="N75" s="23" t="n">
        <f aca="false">K75*J75*L75</f>
        <v>22.5</v>
      </c>
    </row>
    <row r="76" customFormat="false" ht="15" hidden="false" customHeight="true" outlineLevel="0" collapsed="false">
      <c r="A76" s="20" t="s">
        <v>668</v>
      </c>
      <c r="B76" s="20" t="n">
        <v>73</v>
      </c>
      <c r="C76" s="20" t="str">
        <f aca="false">Tasks!A73</f>
        <v>WL Dec W3 Optimally allocated - Vishal liteuser</v>
      </c>
      <c r="D76" s="20" t="s">
        <v>333</v>
      </c>
      <c r="E76" s="20" t="str">
        <f aca="false">Tasks!C73</f>
        <v>Cancelled</v>
      </c>
      <c r="F76" s="20" t="str">
        <f aca="false">Tasks!O73</f>
        <v>hrs</v>
      </c>
      <c r="G76" s="21" t="n">
        <v>45</v>
      </c>
      <c r="H76" s="22" t="n">
        <f aca="false">IF(Tasks!F73="","",DATE(RIGHT(Tasks!F73,4),MID(Tasks!F73,4,2),LEFT(Tasks!F73,2)))</f>
        <v>46377</v>
      </c>
      <c r="I76" s="22" t="n">
        <f aca="false">IF(Tasks!G73="","",DATE(RIGHT(Tasks!G73,4),MID(Tasks!G73,4,2),LEFT(Tasks!G73,2)))</f>
        <v>46381</v>
      </c>
      <c r="J76" s="20" t="n">
        <f aca="false">IF(H76="",0,NETWORKDAYS(H76,I76))</f>
        <v>5</v>
      </c>
      <c r="K76" s="23" t="n">
        <f aca="false">IF(OR(H76="",J76=0),0,IF(F76="hrs/day",G76,IF(F76="%/day",G76/100*$B$1,G76/J76)))</f>
        <v>9</v>
      </c>
      <c r="L76" s="20" t="n">
        <f aca="false">IF(A76="Previous import",$B$2,1)</f>
        <v>1</v>
      </c>
      <c r="M76" s="20" t="n">
        <f aca="false">IF(OR(E76="Closed",E76="Cancelled"),1,0)</f>
        <v>1</v>
      </c>
      <c r="N76" s="23" t="n">
        <f aca="false">K76*J76*L76</f>
        <v>45</v>
      </c>
    </row>
    <row r="77" customFormat="false" ht="15" hidden="false" customHeight="true" outlineLevel="0" collapsed="false">
      <c r="A77" s="20" t="s">
        <v>668</v>
      </c>
      <c r="B77" s="20" t="n">
        <v>74</v>
      </c>
      <c r="C77" s="20" t="str">
        <f aca="false">Tasks!A74</f>
        <v>WL Dec W4 Under-allocated - Vishal liteuser</v>
      </c>
      <c r="D77" s="20" t="s">
        <v>333</v>
      </c>
      <c r="E77" s="20" t="str">
        <f aca="false">Tasks!C74</f>
        <v>Open</v>
      </c>
      <c r="F77" s="20" t="str">
        <f aca="false">Tasks!O74</f>
        <v>hrs/day</v>
      </c>
      <c r="G77" s="21" t="n">
        <v>8.5</v>
      </c>
      <c r="H77" s="22" t="n">
        <f aca="false">IF(Tasks!F74="","",DATE(RIGHT(Tasks!F74,4),MID(Tasks!F74,4,2),LEFT(Tasks!F74,2)))</f>
        <v>46384</v>
      </c>
      <c r="I77" s="22" t="n">
        <f aca="false">IF(Tasks!G74="","",DATE(RIGHT(Tasks!G74,4),MID(Tasks!G74,4,2),LEFT(Tasks!G74,2)))</f>
        <v>46387</v>
      </c>
      <c r="J77" s="20" t="n">
        <f aca="false">IF(H77="",0,NETWORKDAYS(H77,I77))</f>
        <v>4</v>
      </c>
      <c r="K77" s="23" t="n">
        <f aca="false">IF(OR(H77="",J77=0),0,IF(F77="hrs/day",G77,IF(F77="%/day",G77/100*$B$1,G77/J77)))</f>
        <v>8.5</v>
      </c>
      <c r="L77" s="20" t="n">
        <f aca="false">IF(A77="Previous import",$B$2,1)</f>
        <v>1</v>
      </c>
      <c r="M77" s="20" t="n">
        <f aca="false">IF(OR(E77="Closed",E77="Cancelled"),1,0)</f>
        <v>0</v>
      </c>
      <c r="N77" s="23" t="n">
        <f aca="false">K77*J77*L77</f>
        <v>34</v>
      </c>
    </row>
    <row r="78" customFormat="false" ht="15" hidden="false" customHeight="true" outlineLevel="0" collapsed="false">
      <c r="A78" s="20" t="s">
        <v>668</v>
      </c>
      <c r="B78" s="20" t="n">
        <v>75</v>
      </c>
      <c r="C78" s="20" t="str">
        <f aca="false">Tasks!A75</f>
        <v>WL Oct W1 Under-allocated - Vishal customprofile</v>
      </c>
      <c r="D78" s="20" t="s">
        <v>367</v>
      </c>
      <c r="E78" s="20" t="str">
        <f aca="false">Tasks!C75</f>
        <v>In Progress</v>
      </c>
      <c r="F78" s="20" t="str">
        <f aca="false">Tasks!O75</f>
        <v>hrs</v>
      </c>
      <c r="G78" s="21" t="n">
        <v>15</v>
      </c>
      <c r="H78" s="22" t="n">
        <f aca="false">IF(Tasks!F75="","",DATE(RIGHT(Tasks!F75,4),MID(Tasks!F75,4,2),LEFT(Tasks!F75,2)))</f>
        <v>46300</v>
      </c>
      <c r="I78" s="22" t="n">
        <f aca="false">IF(Tasks!G75="","",DATE(RIGHT(Tasks!G75,4),MID(Tasks!G75,4,2),LEFT(Tasks!G75,2)))</f>
        <v>46304</v>
      </c>
      <c r="J78" s="20" t="n">
        <f aca="false">IF(H78="",0,NETWORKDAYS(H78,I78))</f>
        <v>5</v>
      </c>
      <c r="K78" s="23" t="n">
        <f aca="false">IF(OR(H78="",J78=0),0,IF(F78="hrs/day",G78,IF(F78="%/day",G78/100*$B$1,G78/J78)))</f>
        <v>3</v>
      </c>
      <c r="L78" s="20" t="n">
        <f aca="false">IF(A78="Previous import",$B$2,1)</f>
        <v>1</v>
      </c>
      <c r="M78" s="20" t="n">
        <f aca="false">IF(OR(E78="Closed",E78="Cancelled"),1,0)</f>
        <v>0</v>
      </c>
      <c r="N78" s="23" t="n">
        <f aca="false">K78*J78*L78</f>
        <v>15</v>
      </c>
    </row>
    <row r="79" customFormat="false" ht="15" hidden="false" customHeight="true" outlineLevel="0" collapsed="false">
      <c r="A79" s="20" t="s">
        <v>668</v>
      </c>
      <c r="B79" s="20" t="n">
        <v>76</v>
      </c>
      <c r="C79" s="20" t="str">
        <f aca="false">Tasks!A76</f>
        <v>WL Oct W3 Over-allocated - Vishal customprofile</v>
      </c>
      <c r="D79" s="20" t="s">
        <v>367</v>
      </c>
      <c r="E79" s="20" t="str">
        <f aca="false">Tasks!C76</f>
        <v>In Review</v>
      </c>
      <c r="F79" s="20" t="str">
        <f aca="false">Tasks!O76</f>
        <v>hrs</v>
      </c>
      <c r="G79" s="21" t="n">
        <v>60</v>
      </c>
      <c r="H79" s="22" t="n">
        <f aca="false">IF(Tasks!F76="","",DATE(RIGHT(Tasks!F76,4),MID(Tasks!F76,4,2),LEFT(Tasks!F76,2)))</f>
        <v>46314</v>
      </c>
      <c r="I79" s="22" t="n">
        <f aca="false">IF(Tasks!G76="","",DATE(RIGHT(Tasks!G76,4),MID(Tasks!G76,4,2),LEFT(Tasks!G76,2)))</f>
        <v>46318</v>
      </c>
      <c r="J79" s="20" t="n">
        <f aca="false">IF(H79="",0,NETWORKDAYS(H79,I79))</f>
        <v>5</v>
      </c>
      <c r="K79" s="23" t="n">
        <f aca="false">IF(OR(H79="",J79=0),0,IF(F79="hrs/day",G79,IF(F79="%/day",G79/100*$B$1,G79/J79)))</f>
        <v>12</v>
      </c>
      <c r="L79" s="20" t="n">
        <f aca="false">IF(A79="Previous import",$B$2,1)</f>
        <v>1</v>
      </c>
      <c r="M79" s="20" t="n">
        <f aca="false">IF(OR(E79="Closed",E79="Cancelled"),1,0)</f>
        <v>0</v>
      </c>
      <c r="N79" s="23" t="n">
        <f aca="false">K79*J79*L79</f>
        <v>60</v>
      </c>
    </row>
    <row r="80" customFormat="false" ht="15" hidden="false" customHeight="true" outlineLevel="0" collapsed="false">
      <c r="A80" s="20" t="s">
        <v>668</v>
      </c>
      <c r="B80" s="20" t="n">
        <v>77</v>
      </c>
      <c r="C80" s="20" t="str">
        <f aca="false">Tasks!A77</f>
        <v>WL Oct W4 Optimally allocated (1 of 2) - Vishal customprofile</v>
      </c>
      <c r="D80" s="20" t="s">
        <v>367</v>
      </c>
      <c r="E80" s="20" t="str">
        <f aca="false">Tasks!C77</f>
        <v>To be Tested</v>
      </c>
      <c r="F80" s="20" t="str">
        <f aca="false">Tasks!O77</f>
        <v>hrs</v>
      </c>
      <c r="G80" s="21" t="n">
        <v>22.5</v>
      </c>
      <c r="H80" s="22" t="n">
        <f aca="false">IF(Tasks!F77="","",DATE(RIGHT(Tasks!F77,4),MID(Tasks!F77,4,2),LEFT(Tasks!F77,2)))</f>
        <v>46321</v>
      </c>
      <c r="I80" s="22" t="n">
        <f aca="false">IF(Tasks!G77="","",DATE(RIGHT(Tasks!G77,4),MID(Tasks!G77,4,2),LEFT(Tasks!G77,2)))</f>
        <v>46325</v>
      </c>
      <c r="J80" s="20" t="n">
        <f aca="false">IF(H80="",0,NETWORKDAYS(H80,I80))</f>
        <v>5</v>
      </c>
      <c r="K80" s="23" t="n">
        <f aca="false">IF(OR(H80="",J80=0),0,IF(F80="hrs/day",G80,IF(F80="%/day",G80/100*$B$1,G80/J80)))</f>
        <v>4.5</v>
      </c>
      <c r="L80" s="20" t="n">
        <f aca="false">IF(A80="Previous import",$B$2,1)</f>
        <v>1</v>
      </c>
      <c r="M80" s="20" t="n">
        <f aca="false">IF(OR(E80="Closed",E80="Cancelled"),1,0)</f>
        <v>0</v>
      </c>
      <c r="N80" s="23" t="n">
        <f aca="false">K80*J80*L80</f>
        <v>22.5</v>
      </c>
    </row>
    <row r="81" customFormat="false" ht="15" hidden="false" customHeight="true" outlineLevel="0" collapsed="false">
      <c r="A81" s="20" t="s">
        <v>668</v>
      </c>
      <c r="B81" s="20" t="n">
        <v>78</v>
      </c>
      <c r="C81" s="20" t="str">
        <f aca="false">Tasks!A78</f>
        <v>WL Oct W4 Optimally allocated (2 of 2) - Vishal customprofile</v>
      </c>
      <c r="D81" s="20" t="s">
        <v>367</v>
      </c>
      <c r="E81" s="20" t="str">
        <f aca="false">Tasks!C78</f>
        <v>On Hold</v>
      </c>
      <c r="F81" s="20" t="str">
        <f aca="false">Tasks!O78</f>
        <v>hrs/day</v>
      </c>
      <c r="G81" s="21" t="n">
        <v>4.5</v>
      </c>
      <c r="H81" s="22" t="n">
        <f aca="false">IF(Tasks!F78="","",DATE(RIGHT(Tasks!F78,4),MID(Tasks!F78,4,2),LEFT(Tasks!F78,2)))</f>
        <v>46321</v>
      </c>
      <c r="I81" s="22" t="n">
        <f aca="false">IF(Tasks!G78="","",DATE(RIGHT(Tasks!G78,4),MID(Tasks!G78,4,2),LEFT(Tasks!G78,2)))</f>
        <v>46325</v>
      </c>
      <c r="J81" s="20" t="n">
        <f aca="false">IF(H81="",0,NETWORKDAYS(H81,I81))</f>
        <v>5</v>
      </c>
      <c r="K81" s="23" t="n">
        <f aca="false">IF(OR(H81="",J81=0),0,IF(F81="hrs/day",G81,IF(F81="%/day",G81/100*$B$1,G81/J81)))</f>
        <v>4.5</v>
      </c>
      <c r="L81" s="20" t="n">
        <f aca="false">IF(A81="Previous import",$B$2,1)</f>
        <v>1</v>
      </c>
      <c r="M81" s="20" t="n">
        <f aca="false">IF(OR(E81="Closed",E81="Cancelled"),1,0)</f>
        <v>0</v>
      </c>
      <c r="N81" s="23" t="n">
        <f aca="false">K81*J81*L81</f>
        <v>22.5</v>
      </c>
    </row>
    <row r="82" customFormat="false" ht="15" hidden="false" customHeight="true" outlineLevel="0" collapsed="false">
      <c r="A82" s="20" t="s">
        <v>668</v>
      </c>
      <c r="B82" s="20" t="n">
        <v>79</v>
      </c>
      <c r="C82" s="20" t="str">
        <f aca="false">Tasks!A79</f>
        <v>WL Nov W2 Over-allocated - Vishal customprofile</v>
      </c>
      <c r="D82" s="20" t="s">
        <v>367</v>
      </c>
      <c r="E82" s="20" t="str">
        <f aca="false">Tasks!C79</f>
        <v>Delayed</v>
      </c>
      <c r="F82" s="20" t="str">
        <f aca="false">Tasks!O79</f>
        <v>%/day</v>
      </c>
      <c r="G82" s="21" t="n">
        <v>150</v>
      </c>
      <c r="H82" s="22" t="n">
        <f aca="false">IF(Tasks!F79="","",DATE(RIGHT(Tasks!F79,4),MID(Tasks!F79,4,2),LEFT(Tasks!F79,2)))</f>
        <v>46335</v>
      </c>
      <c r="I82" s="22" t="n">
        <f aca="false">IF(Tasks!G79="","",DATE(RIGHT(Tasks!G79,4),MID(Tasks!G79,4,2),LEFT(Tasks!G79,2)))</f>
        <v>46339</v>
      </c>
      <c r="J82" s="20" t="n">
        <f aca="false">IF(H82="",0,NETWORKDAYS(H82,I82))</f>
        <v>5</v>
      </c>
      <c r="K82" s="23" t="n">
        <f aca="false">IF(OR(H82="",J82=0),0,IF(F82="hrs/day",G82,IF(F82="%/day",G82/100*$B$1,G82/J82)))</f>
        <v>13.5</v>
      </c>
      <c r="L82" s="20" t="n">
        <f aca="false">IF(A82="Previous import",$B$2,1)</f>
        <v>1</v>
      </c>
      <c r="M82" s="20" t="n">
        <f aca="false">IF(OR(E82="Closed",E82="Cancelled"),1,0)</f>
        <v>0</v>
      </c>
      <c r="N82" s="23" t="n">
        <f aca="false">K82*J82*L82</f>
        <v>67.5</v>
      </c>
    </row>
    <row r="83" customFormat="false" ht="15" hidden="false" customHeight="true" outlineLevel="0" collapsed="false">
      <c r="A83" s="20" t="s">
        <v>668</v>
      </c>
      <c r="B83" s="20" t="n">
        <v>80</v>
      </c>
      <c r="C83" s="20" t="str">
        <f aca="false">Tasks!A80</f>
        <v>WL Nov W3 Optimally allocated - Vishal customprofile</v>
      </c>
      <c r="D83" s="20" t="s">
        <v>367</v>
      </c>
      <c r="E83" s="20" t="str">
        <f aca="false">Tasks!C80</f>
        <v>Closed</v>
      </c>
      <c r="F83" s="20" t="str">
        <f aca="false">Tasks!O80</f>
        <v>%/day</v>
      </c>
      <c r="G83" s="21" t="n">
        <v>100</v>
      </c>
      <c r="H83" s="22" t="n">
        <f aca="false">IF(Tasks!F80="","",DATE(RIGHT(Tasks!F80,4),MID(Tasks!F80,4,2),LEFT(Tasks!F80,2)))</f>
        <v>46342</v>
      </c>
      <c r="I83" s="22" t="n">
        <f aca="false">IF(Tasks!G80="","",DATE(RIGHT(Tasks!G80,4),MID(Tasks!G80,4,2),LEFT(Tasks!G80,2)))</f>
        <v>46346</v>
      </c>
      <c r="J83" s="20" t="n">
        <f aca="false">IF(H83="",0,NETWORKDAYS(H83,I83))</f>
        <v>5</v>
      </c>
      <c r="K83" s="23" t="n">
        <f aca="false">IF(OR(H83="",J83=0),0,IF(F83="hrs/day",G83,IF(F83="%/day",G83/100*$B$1,G83/J83)))</f>
        <v>9</v>
      </c>
      <c r="L83" s="20" t="n">
        <f aca="false">IF(A83="Previous import",$B$2,1)</f>
        <v>1</v>
      </c>
      <c r="M83" s="20" t="n">
        <f aca="false">IF(OR(E83="Closed",E83="Cancelled"),1,0)</f>
        <v>1</v>
      </c>
      <c r="N83" s="23" t="n">
        <f aca="false">K83*J83*L83</f>
        <v>45</v>
      </c>
    </row>
    <row r="84" customFormat="false" ht="15" hidden="false" customHeight="true" outlineLevel="0" collapsed="false">
      <c r="A84" s="20" t="s">
        <v>668</v>
      </c>
      <c r="B84" s="20" t="n">
        <v>81</v>
      </c>
      <c r="C84" s="20" t="str">
        <f aca="false">Tasks!A81</f>
        <v>WL Nov W4 Under-allocated - Vishal customprofile</v>
      </c>
      <c r="D84" s="20" t="s">
        <v>367</v>
      </c>
      <c r="E84" s="20" t="str">
        <f aca="false">Tasks!C81</f>
        <v>Cancelled</v>
      </c>
      <c r="F84" s="20" t="str">
        <f aca="false">Tasks!O81</f>
        <v>%/day</v>
      </c>
      <c r="G84" s="21" t="n">
        <v>25</v>
      </c>
      <c r="H84" s="22" t="n">
        <f aca="false">IF(Tasks!F81="","",DATE(RIGHT(Tasks!F81,4),MID(Tasks!F81,4,2),LEFT(Tasks!F81,2)))</f>
        <v>46349</v>
      </c>
      <c r="I84" s="22" t="n">
        <f aca="false">IF(Tasks!G81="","",DATE(RIGHT(Tasks!G81,4),MID(Tasks!G81,4,2),LEFT(Tasks!G81,2)))</f>
        <v>46353</v>
      </c>
      <c r="J84" s="20" t="n">
        <f aca="false">IF(H84="",0,NETWORKDAYS(H84,I84))</f>
        <v>5</v>
      </c>
      <c r="K84" s="23" t="n">
        <f aca="false">IF(OR(H84="",J84=0),0,IF(F84="hrs/day",G84,IF(F84="%/day",G84/100*$B$1,G84/J84)))</f>
        <v>2.25</v>
      </c>
      <c r="L84" s="20" t="n">
        <f aca="false">IF(A84="Previous import",$B$2,1)</f>
        <v>1</v>
      </c>
      <c r="M84" s="20" t="n">
        <f aca="false">IF(OR(E84="Closed",E84="Cancelled"),1,0)</f>
        <v>1</v>
      </c>
      <c r="N84" s="23" t="n">
        <f aca="false">K84*J84*L84</f>
        <v>11.25</v>
      </c>
    </row>
    <row r="85" customFormat="false" ht="15" hidden="false" customHeight="true" outlineLevel="0" collapsed="false">
      <c r="A85" s="20" t="s">
        <v>668</v>
      </c>
      <c r="B85" s="20" t="n">
        <v>82</v>
      </c>
      <c r="C85" s="20" t="str">
        <f aca="false">Tasks!A82</f>
        <v>WL Dec W1 Over-allocated (1 of 2) - Vishal customprofile</v>
      </c>
      <c r="D85" s="20" t="s">
        <v>367</v>
      </c>
      <c r="E85" s="20" t="str">
        <f aca="false">Tasks!C82</f>
        <v>Open</v>
      </c>
      <c r="F85" s="20" t="str">
        <f aca="false">Tasks!O82</f>
        <v>hrs/day</v>
      </c>
      <c r="G85" s="21" t="n">
        <v>6</v>
      </c>
      <c r="H85" s="22" t="n">
        <f aca="false">IF(Tasks!F82="","",DATE(RIGHT(Tasks!F82,4),MID(Tasks!F82,4,2),LEFT(Tasks!F82,2)))</f>
        <v>46363</v>
      </c>
      <c r="I85" s="22" t="n">
        <f aca="false">IF(Tasks!G82="","",DATE(RIGHT(Tasks!G82,4),MID(Tasks!G82,4,2),LEFT(Tasks!G82,2)))</f>
        <v>46367</v>
      </c>
      <c r="J85" s="20" t="n">
        <f aca="false">IF(H85="",0,NETWORKDAYS(H85,I85))</f>
        <v>5</v>
      </c>
      <c r="K85" s="23" t="n">
        <f aca="false">IF(OR(H85="",J85=0),0,IF(F85="hrs/day",G85,IF(F85="%/day",G85/100*$B$1,G85/J85)))</f>
        <v>6</v>
      </c>
      <c r="L85" s="20" t="n">
        <f aca="false">IF(A85="Previous import",$B$2,1)</f>
        <v>1</v>
      </c>
      <c r="M85" s="20" t="n">
        <f aca="false">IF(OR(E85="Closed",E85="Cancelled"),1,0)</f>
        <v>0</v>
      </c>
      <c r="N85" s="23" t="n">
        <f aca="false">K85*J85*L85</f>
        <v>30</v>
      </c>
    </row>
    <row r="86" customFormat="false" ht="15" hidden="false" customHeight="true" outlineLevel="0" collapsed="false">
      <c r="A86" s="20" t="s">
        <v>668</v>
      </c>
      <c r="B86" s="20" t="n">
        <v>83</v>
      </c>
      <c r="C86" s="20" t="str">
        <f aca="false">Tasks!A83</f>
        <v>WL Dec W1 Over-allocated (2 of 2) - Vishal customprofile</v>
      </c>
      <c r="D86" s="20" t="s">
        <v>367</v>
      </c>
      <c r="E86" s="20" t="str">
        <f aca="false">Tasks!C83</f>
        <v>In Progress</v>
      </c>
      <c r="F86" s="20" t="str">
        <f aca="false">Tasks!O83</f>
        <v>hrs/day</v>
      </c>
      <c r="G86" s="21" t="n">
        <v>4.5</v>
      </c>
      <c r="H86" s="22" t="n">
        <f aca="false">IF(Tasks!F83="","",DATE(RIGHT(Tasks!F83,4),MID(Tasks!F83,4,2),LEFT(Tasks!F83,2)))</f>
        <v>46363</v>
      </c>
      <c r="I86" s="22" t="n">
        <f aca="false">IF(Tasks!G83="","",DATE(RIGHT(Tasks!G83,4),MID(Tasks!G83,4,2),LEFT(Tasks!G83,2)))</f>
        <v>46367</v>
      </c>
      <c r="J86" s="20" t="n">
        <f aca="false">IF(H86="",0,NETWORKDAYS(H86,I86))</f>
        <v>5</v>
      </c>
      <c r="K86" s="23" t="n">
        <f aca="false">IF(OR(H86="",J86=0),0,IF(F86="hrs/day",G86,IF(F86="%/day",G86/100*$B$1,G86/J86)))</f>
        <v>4.5</v>
      </c>
      <c r="L86" s="20" t="n">
        <f aca="false">IF(A86="Previous import",$B$2,1)</f>
        <v>1</v>
      </c>
      <c r="M86" s="20" t="n">
        <f aca="false">IF(OR(E86="Closed",E86="Cancelled"),1,0)</f>
        <v>0</v>
      </c>
      <c r="N86" s="23" t="n">
        <f aca="false">K86*J86*L86</f>
        <v>22.5</v>
      </c>
    </row>
    <row r="87" customFormat="false" ht="15" hidden="false" customHeight="true" outlineLevel="0" collapsed="false">
      <c r="A87" s="20" t="s">
        <v>668</v>
      </c>
      <c r="B87" s="20" t="n">
        <v>84</v>
      </c>
      <c r="C87" s="20" t="str">
        <f aca="false">Tasks!A84</f>
        <v>WL Dec W2 Optimally allocated - Vishal customprofile</v>
      </c>
      <c r="D87" s="20" t="s">
        <v>367</v>
      </c>
      <c r="E87" s="20" t="str">
        <f aca="false">Tasks!C84</f>
        <v>In Review</v>
      </c>
      <c r="F87" s="20" t="str">
        <f aca="false">Tasks!O84</f>
        <v>hrs/day</v>
      </c>
      <c r="G87" s="21" t="n">
        <v>9</v>
      </c>
      <c r="H87" s="22" t="n">
        <f aca="false">IF(Tasks!F84="","",DATE(RIGHT(Tasks!F84,4),MID(Tasks!F84,4,2),LEFT(Tasks!F84,2)))</f>
        <v>46370</v>
      </c>
      <c r="I87" s="22" t="n">
        <f aca="false">IF(Tasks!G84="","",DATE(RIGHT(Tasks!G84,4),MID(Tasks!G84,4,2),LEFT(Tasks!G84,2)))</f>
        <v>46374</v>
      </c>
      <c r="J87" s="20" t="n">
        <f aca="false">IF(H87="",0,NETWORKDAYS(H87,I87))</f>
        <v>5</v>
      </c>
      <c r="K87" s="23" t="n">
        <f aca="false">IF(OR(H87="",J87=0),0,IF(F87="hrs/day",G87,IF(F87="%/day",G87/100*$B$1,G87/J87)))</f>
        <v>9</v>
      </c>
      <c r="L87" s="20" t="n">
        <f aca="false">IF(A87="Previous import",$B$2,1)</f>
        <v>1</v>
      </c>
      <c r="M87" s="20" t="n">
        <f aca="false">IF(OR(E87="Closed",E87="Cancelled"),1,0)</f>
        <v>0</v>
      </c>
      <c r="N87" s="23" t="n">
        <f aca="false">K87*J87*L87</f>
        <v>45</v>
      </c>
    </row>
    <row r="88" customFormat="false" ht="15" hidden="false" customHeight="true" outlineLevel="0" collapsed="false">
      <c r="A88" s="20" t="s">
        <v>668</v>
      </c>
      <c r="B88" s="20" t="n">
        <v>85</v>
      </c>
      <c r="C88" s="20" t="str">
        <f aca="false">Tasks!A85</f>
        <v>WL Dec W3 Under-allocated - Vishal customprofile</v>
      </c>
      <c r="D88" s="20" t="s">
        <v>367</v>
      </c>
      <c r="E88" s="20" t="str">
        <f aca="false">Tasks!C85</f>
        <v>To be Tested</v>
      </c>
      <c r="F88" s="20" t="str">
        <f aca="false">Tasks!O85</f>
        <v>hrs/day</v>
      </c>
      <c r="G88" s="21" t="n">
        <v>4.5</v>
      </c>
      <c r="H88" s="22" t="n">
        <f aca="false">IF(Tasks!F85="","",DATE(RIGHT(Tasks!F85,4),MID(Tasks!F85,4,2),LEFT(Tasks!F85,2)))</f>
        <v>46377</v>
      </c>
      <c r="I88" s="22" t="n">
        <f aca="false">IF(Tasks!G85="","",DATE(RIGHT(Tasks!G85,4),MID(Tasks!G85,4,2),LEFT(Tasks!G85,2)))</f>
        <v>46381</v>
      </c>
      <c r="J88" s="20" t="n">
        <f aca="false">IF(H88="",0,NETWORKDAYS(H88,I88))</f>
        <v>5</v>
      </c>
      <c r="K88" s="23" t="n">
        <f aca="false">IF(OR(H88="",J88=0),0,IF(F88="hrs/day",G88,IF(F88="%/day",G88/100*$B$1,G88/J88)))</f>
        <v>4.5</v>
      </c>
      <c r="L88" s="20" t="n">
        <f aca="false">IF(A88="Previous import",$B$2,1)</f>
        <v>1</v>
      </c>
      <c r="M88" s="20" t="n">
        <f aca="false">IF(OR(E88="Closed",E88="Cancelled"),1,0)</f>
        <v>0</v>
      </c>
      <c r="N88" s="23" t="n">
        <f aca="false">K88*J88*L88</f>
        <v>22.5</v>
      </c>
    </row>
    <row r="89" customFormat="false" ht="15" hidden="false" customHeight="true" outlineLevel="0" collapsed="false">
      <c r="A89" s="20" t="s">
        <v>668</v>
      </c>
      <c r="B89" s="20" t="n">
        <v>86</v>
      </c>
      <c r="C89" s="20" t="str">
        <f aca="false">Tasks!A86</f>
        <v>WL Oct W1 Unallocated - UIAutomation_Workload_Resource</v>
      </c>
      <c r="D89" s="20" t="s">
        <v>397</v>
      </c>
      <c r="E89" s="20" t="str">
        <f aca="false">Tasks!C86</f>
        <v>On Hold</v>
      </c>
      <c r="F89" s="20" t="str">
        <f aca="false">Tasks!O86</f>
        <v>hrs/day</v>
      </c>
      <c r="G89" s="21" t="n">
        <v>0</v>
      </c>
      <c r="H89" s="22" t="n">
        <f aca="false">IF(Tasks!F86="","",DATE(RIGHT(Tasks!F86,4),MID(Tasks!F86,4,2),LEFT(Tasks!F86,2)))</f>
        <v>46300</v>
      </c>
      <c r="I89" s="22" t="n">
        <f aca="false">IF(Tasks!G86="","",DATE(RIGHT(Tasks!G86,4),MID(Tasks!G86,4,2),LEFT(Tasks!G86,2)))</f>
        <v>46304</v>
      </c>
      <c r="J89" s="20" t="n">
        <f aca="false">IF(H89="",0,NETWORKDAYS(H89,I89))</f>
        <v>5</v>
      </c>
      <c r="K89" s="23" t="n">
        <f aca="false">IF(OR(H89="",J89=0),0,IF(F89="hrs/day",G89,IF(F89="%/day",G89/100*$B$1,G89/J89)))</f>
        <v>0</v>
      </c>
      <c r="L89" s="20" t="n">
        <f aca="false">IF(A89="Previous import",$B$2,1)</f>
        <v>1</v>
      </c>
      <c r="M89" s="20" t="n">
        <f aca="false">IF(OR(E89="Closed",E89="Cancelled"),1,0)</f>
        <v>0</v>
      </c>
      <c r="N89" s="23" t="n">
        <f aca="false">K89*J89*L89</f>
        <v>0</v>
      </c>
    </row>
    <row r="90" customFormat="false" ht="15" hidden="false" customHeight="true" outlineLevel="0" collapsed="false">
      <c r="A90" s="20" t="s">
        <v>668</v>
      </c>
      <c r="B90" s="20" t="n">
        <v>87</v>
      </c>
      <c r="C90" s="20" t="str">
        <f aca="false">Tasks!A87</f>
        <v>WL Oct W2 Over-allocated (1 of 2) - UIAutomation_Workload_Resource</v>
      </c>
      <c r="D90" s="20" t="s">
        <v>397</v>
      </c>
      <c r="E90" s="20" t="str">
        <f aca="false">Tasks!C87</f>
        <v>Delayed</v>
      </c>
      <c r="F90" s="20" t="str">
        <f aca="false">Tasks!O87</f>
        <v>hrs/day</v>
      </c>
      <c r="G90" s="21" t="n">
        <v>5</v>
      </c>
      <c r="H90" s="22" t="n">
        <f aca="false">IF(Tasks!F87="","",DATE(RIGHT(Tasks!F87,4),MID(Tasks!F87,4,2),LEFT(Tasks!F87,2)))</f>
        <v>46307</v>
      </c>
      <c r="I90" s="22" t="n">
        <f aca="false">IF(Tasks!G87="","",DATE(RIGHT(Tasks!G87,4),MID(Tasks!G87,4,2),LEFT(Tasks!G87,2)))</f>
        <v>46311</v>
      </c>
      <c r="J90" s="20" t="n">
        <f aca="false">IF(H90="",0,NETWORKDAYS(H90,I90))</f>
        <v>5</v>
      </c>
      <c r="K90" s="23" t="n">
        <f aca="false">IF(OR(H90="",J90=0),0,IF(F90="hrs/day",G90,IF(F90="%/day",G90/100*$B$1,G90/J90)))</f>
        <v>5</v>
      </c>
      <c r="L90" s="20" t="n">
        <f aca="false">IF(A90="Previous import",$B$2,1)</f>
        <v>1</v>
      </c>
      <c r="M90" s="20" t="n">
        <f aca="false">IF(OR(E90="Closed",E90="Cancelled"),1,0)</f>
        <v>0</v>
      </c>
      <c r="N90" s="23" t="n">
        <f aca="false">K90*J90*L90</f>
        <v>25</v>
      </c>
    </row>
    <row r="91" customFormat="false" ht="15" hidden="false" customHeight="true" outlineLevel="0" collapsed="false">
      <c r="A91" s="20" t="s">
        <v>668</v>
      </c>
      <c r="B91" s="20" t="n">
        <v>88</v>
      </c>
      <c r="C91" s="20" t="str">
        <f aca="false">Tasks!A88</f>
        <v>WL Oct W2 Over-allocated (2 of 2) - UIAutomation_Workload_Resource</v>
      </c>
      <c r="D91" s="20" t="s">
        <v>397</v>
      </c>
      <c r="E91" s="20" t="str">
        <f aca="false">Tasks!C88</f>
        <v>Closed</v>
      </c>
      <c r="F91" s="20" t="str">
        <f aca="false">Tasks!O88</f>
        <v>%/day</v>
      </c>
      <c r="G91" s="21" t="n">
        <v>50</v>
      </c>
      <c r="H91" s="22" t="n">
        <f aca="false">IF(Tasks!F88="","",DATE(RIGHT(Tasks!F88,4),MID(Tasks!F88,4,2),LEFT(Tasks!F88,2)))</f>
        <v>46307</v>
      </c>
      <c r="I91" s="22" t="n">
        <f aca="false">IF(Tasks!G88="","",DATE(RIGHT(Tasks!G88,4),MID(Tasks!G88,4,2),LEFT(Tasks!G88,2)))</f>
        <v>46311</v>
      </c>
      <c r="J91" s="20" t="n">
        <f aca="false">IF(H91="",0,NETWORKDAYS(H91,I91))</f>
        <v>5</v>
      </c>
      <c r="K91" s="23" t="n">
        <f aca="false">IF(OR(H91="",J91=0),0,IF(F91="hrs/day",G91,IF(F91="%/day",G91/100*$B$1,G91/J91)))</f>
        <v>4.5</v>
      </c>
      <c r="L91" s="20" t="n">
        <f aca="false">IF(A91="Previous import",$B$2,1)</f>
        <v>1</v>
      </c>
      <c r="M91" s="20" t="n">
        <f aca="false">IF(OR(E91="Closed",E91="Cancelled"),1,0)</f>
        <v>1</v>
      </c>
      <c r="N91" s="23" t="n">
        <f aca="false">K91*J91*L91</f>
        <v>22.5</v>
      </c>
    </row>
    <row r="92" customFormat="false" ht="15" hidden="false" customHeight="true" outlineLevel="0" collapsed="false">
      <c r="A92" s="20" t="s">
        <v>668</v>
      </c>
      <c r="B92" s="20" t="n">
        <v>89</v>
      </c>
      <c r="C92" s="20" t="str">
        <f aca="false">Tasks!A89</f>
        <v>WL Oct W3 Optimally allocated - UIAutomation_Workload_Resource</v>
      </c>
      <c r="D92" s="20" t="s">
        <v>397</v>
      </c>
      <c r="E92" s="20" t="str">
        <f aca="false">Tasks!C89</f>
        <v>Cancelled</v>
      </c>
      <c r="F92" s="20" t="str">
        <f aca="false">Tasks!O89</f>
        <v>hrs</v>
      </c>
      <c r="G92" s="21" t="n">
        <v>45</v>
      </c>
      <c r="H92" s="22" t="n">
        <f aca="false">IF(Tasks!F89="","",DATE(RIGHT(Tasks!F89,4),MID(Tasks!F89,4,2),LEFT(Tasks!F89,2)))</f>
        <v>46314</v>
      </c>
      <c r="I92" s="22" t="n">
        <f aca="false">IF(Tasks!G89="","",DATE(RIGHT(Tasks!G89,4),MID(Tasks!G89,4,2),LEFT(Tasks!G89,2)))</f>
        <v>46318</v>
      </c>
      <c r="J92" s="20" t="n">
        <f aca="false">IF(H92="",0,NETWORKDAYS(H92,I92))</f>
        <v>5</v>
      </c>
      <c r="K92" s="23" t="n">
        <f aca="false">IF(OR(H92="",J92=0),0,IF(F92="hrs/day",G92,IF(F92="%/day",G92/100*$B$1,G92/J92)))</f>
        <v>9</v>
      </c>
      <c r="L92" s="20" t="n">
        <f aca="false">IF(A92="Previous import",$B$2,1)</f>
        <v>1</v>
      </c>
      <c r="M92" s="20" t="n">
        <f aca="false">IF(OR(E92="Closed",E92="Cancelled"),1,0)</f>
        <v>1</v>
      </c>
      <c r="N92" s="23" t="n">
        <f aca="false">K92*J92*L92</f>
        <v>45</v>
      </c>
    </row>
    <row r="93" customFormat="false" ht="15" hidden="false" customHeight="true" outlineLevel="0" collapsed="false">
      <c r="A93" s="20" t="s">
        <v>668</v>
      </c>
      <c r="B93" s="20" t="n">
        <v>90</v>
      </c>
      <c r="C93" s="20" t="str">
        <f aca="false">Tasks!A90</f>
        <v>WL Oct W4 Under-allocated - UIAutomation_Workload_Resource</v>
      </c>
      <c r="D93" s="20" t="s">
        <v>397</v>
      </c>
      <c r="E93" s="20" t="str">
        <f aca="false">Tasks!C90</f>
        <v>Open</v>
      </c>
      <c r="F93" s="20" t="str">
        <f aca="false">Tasks!O90</f>
        <v>hrs/day</v>
      </c>
      <c r="G93" s="21" t="n">
        <v>8.5</v>
      </c>
      <c r="H93" s="22" t="n">
        <f aca="false">IF(Tasks!F90="","",DATE(RIGHT(Tasks!F90,4),MID(Tasks!F90,4,2),LEFT(Tasks!F90,2)))</f>
        <v>46321</v>
      </c>
      <c r="I93" s="22" t="n">
        <f aca="false">IF(Tasks!G90="","",DATE(RIGHT(Tasks!G90,4),MID(Tasks!G90,4,2),LEFT(Tasks!G90,2)))</f>
        <v>46325</v>
      </c>
      <c r="J93" s="20" t="n">
        <f aca="false">IF(H93="",0,NETWORKDAYS(H93,I93))</f>
        <v>5</v>
      </c>
      <c r="K93" s="23" t="n">
        <f aca="false">IF(OR(H93="",J93=0),0,IF(F93="hrs/day",G93,IF(F93="%/day",G93/100*$B$1,G93/J93)))</f>
        <v>8.5</v>
      </c>
      <c r="L93" s="20" t="n">
        <f aca="false">IF(A93="Previous import",$B$2,1)</f>
        <v>1</v>
      </c>
      <c r="M93" s="20" t="n">
        <f aca="false">IF(OR(E93="Closed",E93="Cancelled"),1,0)</f>
        <v>0</v>
      </c>
      <c r="N93" s="23" t="n">
        <f aca="false">K93*J93*L93</f>
        <v>42.5</v>
      </c>
    </row>
    <row r="94" customFormat="false" ht="15" hidden="false" customHeight="true" outlineLevel="0" collapsed="false">
      <c r="A94" s="20" t="s">
        <v>668</v>
      </c>
      <c r="B94" s="20" t="n">
        <v>91</v>
      </c>
      <c r="C94" s="20" t="str">
        <f aca="false">Tasks!A91</f>
        <v>WL Nov W1 Over-allocated - UIAutomation_Workload_Resource</v>
      </c>
      <c r="D94" s="20" t="s">
        <v>397</v>
      </c>
      <c r="E94" s="20" t="str">
        <f aca="false">Tasks!C91</f>
        <v>In Progress</v>
      </c>
      <c r="F94" s="20" t="str">
        <f aca="false">Tasks!O91</f>
        <v>hrs</v>
      </c>
      <c r="G94" s="21" t="n">
        <v>60</v>
      </c>
      <c r="H94" s="22" t="n">
        <f aca="false">IF(Tasks!F91="","",DATE(RIGHT(Tasks!F91,4),MID(Tasks!F91,4,2),LEFT(Tasks!F91,2)))</f>
        <v>46328</v>
      </c>
      <c r="I94" s="22" t="n">
        <f aca="false">IF(Tasks!G91="","",DATE(RIGHT(Tasks!G91,4),MID(Tasks!G91,4,2),LEFT(Tasks!G91,2)))</f>
        <v>46332</v>
      </c>
      <c r="J94" s="20" t="n">
        <f aca="false">IF(H94="",0,NETWORKDAYS(H94,I94))</f>
        <v>5</v>
      </c>
      <c r="K94" s="23" t="n">
        <f aca="false">IF(OR(H94="",J94=0),0,IF(F94="hrs/day",G94,IF(F94="%/day",G94/100*$B$1,G94/J94)))</f>
        <v>12</v>
      </c>
      <c r="L94" s="20" t="n">
        <f aca="false">IF(A94="Previous import",$B$2,1)</f>
        <v>1</v>
      </c>
      <c r="M94" s="20" t="n">
        <f aca="false">IF(OR(E94="Closed",E94="Cancelled"),1,0)</f>
        <v>0</v>
      </c>
      <c r="N94" s="23" t="n">
        <f aca="false">K94*J94*L94</f>
        <v>60</v>
      </c>
    </row>
    <row r="95" customFormat="false" ht="15" hidden="false" customHeight="true" outlineLevel="0" collapsed="false">
      <c r="A95" s="20" t="s">
        <v>668</v>
      </c>
      <c r="B95" s="20" t="n">
        <v>92</v>
      </c>
      <c r="C95" s="20" t="str">
        <f aca="false">Tasks!A92</f>
        <v>WL Nov W2 Optimally allocated (1 of 2) - UIAutomation_Workload_Resource</v>
      </c>
      <c r="D95" s="20" t="s">
        <v>397</v>
      </c>
      <c r="E95" s="20" t="str">
        <f aca="false">Tasks!C92</f>
        <v>In Review</v>
      </c>
      <c r="F95" s="20" t="str">
        <f aca="false">Tasks!O92</f>
        <v>hrs</v>
      </c>
      <c r="G95" s="21" t="n">
        <v>22.5</v>
      </c>
      <c r="H95" s="22" t="n">
        <f aca="false">IF(Tasks!F92="","",DATE(RIGHT(Tasks!F92,4),MID(Tasks!F92,4,2),LEFT(Tasks!F92,2)))</f>
        <v>46335</v>
      </c>
      <c r="I95" s="22" t="n">
        <f aca="false">IF(Tasks!G92="","",DATE(RIGHT(Tasks!G92,4),MID(Tasks!G92,4,2),LEFT(Tasks!G92,2)))</f>
        <v>46339</v>
      </c>
      <c r="J95" s="20" t="n">
        <f aca="false">IF(H95="",0,NETWORKDAYS(H95,I95))</f>
        <v>5</v>
      </c>
      <c r="K95" s="23" t="n">
        <f aca="false">IF(OR(H95="",J95=0),0,IF(F95="hrs/day",G95,IF(F95="%/day",G95/100*$B$1,G95/J95)))</f>
        <v>4.5</v>
      </c>
      <c r="L95" s="20" t="n">
        <f aca="false">IF(A95="Previous import",$B$2,1)</f>
        <v>1</v>
      </c>
      <c r="M95" s="20" t="n">
        <f aca="false">IF(OR(E95="Closed",E95="Cancelled"),1,0)</f>
        <v>0</v>
      </c>
      <c r="N95" s="23" t="n">
        <f aca="false">K95*J95*L95</f>
        <v>22.5</v>
      </c>
    </row>
    <row r="96" customFormat="false" ht="15" hidden="false" customHeight="true" outlineLevel="0" collapsed="false">
      <c r="A96" s="20" t="s">
        <v>668</v>
      </c>
      <c r="B96" s="20" t="n">
        <v>93</v>
      </c>
      <c r="C96" s="20" t="str">
        <f aca="false">Tasks!A93</f>
        <v>WL Nov W2 Optimally allocated (2 of 2) - UIAutomation_Workload_Resource</v>
      </c>
      <c r="D96" s="20" t="s">
        <v>397</v>
      </c>
      <c r="E96" s="20" t="str">
        <f aca="false">Tasks!C93</f>
        <v>To be Tested</v>
      </c>
      <c r="F96" s="20" t="str">
        <f aca="false">Tasks!O93</f>
        <v>hrs/day</v>
      </c>
      <c r="G96" s="21" t="n">
        <v>4.5</v>
      </c>
      <c r="H96" s="22" t="n">
        <f aca="false">IF(Tasks!F93="","",DATE(RIGHT(Tasks!F93,4),MID(Tasks!F93,4,2),LEFT(Tasks!F93,2)))</f>
        <v>46335</v>
      </c>
      <c r="I96" s="22" t="n">
        <f aca="false">IF(Tasks!G93="","",DATE(RIGHT(Tasks!G93,4),MID(Tasks!G93,4,2),LEFT(Tasks!G93,2)))</f>
        <v>46339</v>
      </c>
      <c r="J96" s="20" t="n">
        <f aca="false">IF(H96="",0,NETWORKDAYS(H96,I96))</f>
        <v>5</v>
      </c>
      <c r="K96" s="23" t="n">
        <f aca="false">IF(OR(H96="",J96=0),0,IF(F96="hrs/day",G96,IF(F96="%/day",G96/100*$B$1,G96/J96)))</f>
        <v>4.5</v>
      </c>
      <c r="L96" s="20" t="n">
        <f aca="false">IF(A96="Previous import",$B$2,1)</f>
        <v>1</v>
      </c>
      <c r="M96" s="20" t="n">
        <f aca="false">IF(OR(E96="Closed",E96="Cancelled"),1,0)</f>
        <v>0</v>
      </c>
      <c r="N96" s="23" t="n">
        <f aca="false">K96*J96*L96</f>
        <v>22.5</v>
      </c>
    </row>
    <row r="97" customFormat="false" ht="15" hidden="false" customHeight="true" outlineLevel="0" collapsed="false">
      <c r="A97" s="20" t="s">
        <v>668</v>
      </c>
      <c r="B97" s="20" t="n">
        <v>94</v>
      </c>
      <c r="C97" s="20" t="str">
        <f aca="false">Tasks!A94</f>
        <v>WL Nov W3 Under-allocated - UIAutomation_Workload_Resource</v>
      </c>
      <c r="D97" s="20" t="s">
        <v>397</v>
      </c>
      <c r="E97" s="20" t="str">
        <f aca="false">Tasks!C94</f>
        <v>On Hold</v>
      </c>
      <c r="F97" s="20" t="str">
        <f aca="false">Tasks!O94</f>
        <v>hrs</v>
      </c>
      <c r="G97" s="21" t="n">
        <v>15</v>
      </c>
      <c r="H97" s="22" t="n">
        <f aca="false">IF(Tasks!F94="","",DATE(RIGHT(Tasks!F94,4),MID(Tasks!F94,4,2),LEFT(Tasks!F94,2)))</f>
        <v>46342</v>
      </c>
      <c r="I97" s="22" t="n">
        <f aca="false">IF(Tasks!G94="","",DATE(RIGHT(Tasks!G94,4),MID(Tasks!G94,4,2),LEFT(Tasks!G94,2)))</f>
        <v>46346</v>
      </c>
      <c r="J97" s="20" t="n">
        <f aca="false">IF(H97="",0,NETWORKDAYS(H97,I97))</f>
        <v>5</v>
      </c>
      <c r="K97" s="23" t="n">
        <f aca="false">IF(OR(H97="",J97=0),0,IF(F97="hrs/day",G97,IF(F97="%/day",G97/100*$B$1,G97/J97)))</f>
        <v>3</v>
      </c>
      <c r="L97" s="20" t="n">
        <f aca="false">IF(A97="Previous import",$B$2,1)</f>
        <v>1</v>
      </c>
      <c r="M97" s="20" t="n">
        <f aca="false">IF(OR(E97="Closed",E97="Cancelled"),1,0)</f>
        <v>0</v>
      </c>
      <c r="N97" s="23" t="n">
        <f aca="false">K97*J97*L97</f>
        <v>15</v>
      </c>
    </row>
    <row r="98" customFormat="false" ht="15" hidden="false" customHeight="true" outlineLevel="0" collapsed="false">
      <c r="A98" s="20" t="s">
        <v>668</v>
      </c>
      <c r="B98" s="20" t="n">
        <v>95</v>
      </c>
      <c r="C98" s="20" t="str">
        <f aca="false">Tasks!A95</f>
        <v>WL Dec W1 Optimally allocated - UIAutomation_Workload_Resource</v>
      </c>
      <c r="D98" s="20" t="s">
        <v>397</v>
      </c>
      <c r="E98" s="20" t="str">
        <f aca="false">Tasks!C95</f>
        <v>Delayed</v>
      </c>
      <c r="F98" s="20" t="str">
        <f aca="false">Tasks!O95</f>
        <v>%/day</v>
      </c>
      <c r="G98" s="21" t="n">
        <v>100</v>
      </c>
      <c r="H98" s="22" t="n">
        <f aca="false">IF(Tasks!F95="","",DATE(RIGHT(Tasks!F95,4),MID(Tasks!F95,4,2),LEFT(Tasks!F95,2)))</f>
        <v>46363</v>
      </c>
      <c r="I98" s="22" t="n">
        <f aca="false">IF(Tasks!G95="","",DATE(RIGHT(Tasks!G95,4),MID(Tasks!G95,4,2),LEFT(Tasks!G95,2)))</f>
        <v>46367</v>
      </c>
      <c r="J98" s="20" t="n">
        <f aca="false">IF(H98="",0,NETWORKDAYS(H98,I98))</f>
        <v>5</v>
      </c>
      <c r="K98" s="23" t="n">
        <f aca="false">IF(OR(H98="",J98=0),0,IF(F98="hrs/day",G98,IF(F98="%/day",G98/100*$B$1,G98/J98)))</f>
        <v>9</v>
      </c>
      <c r="L98" s="20" t="n">
        <f aca="false">IF(A98="Previous import",$B$2,1)</f>
        <v>1</v>
      </c>
      <c r="M98" s="20" t="n">
        <f aca="false">IF(OR(E98="Closed",E98="Cancelled"),1,0)</f>
        <v>0</v>
      </c>
      <c r="N98" s="23" t="n">
        <f aca="false">K98*J98*L98</f>
        <v>45</v>
      </c>
    </row>
    <row r="99" customFormat="false" ht="15" hidden="false" customHeight="true" outlineLevel="0" collapsed="false">
      <c r="A99" s="20" t="s">
        <v>668</v>
      </c>
      <c r="B99" s="20" t="n">
        <v>96</v>
      </c>
      <c r="C99" s="20" t="str">
        <f aca="false">Tasks!A96</f>
        <v>WL Dec W2 Under-allocated - UIAutomation_Workload_Resource</v>
      </c>
      <c r="D99" s="20" t="s">
        <v>397</v>
      </c>
      <c r="E99" s="20" t="str">
        <f aca="false">Tasks!C96</f>
        <v>Closed</v>
      </c>
      <c r="F99" s="20" t="str">
        <f aca="false">Tasks!O96</f>
        <v>%/day</v>
      </c>
      <c r="G99" s="21" t="n">
        <v>25</v>
      </c>
      <c r="H99" s="22" t="n">
        <f aca="false">IF(Tasks!F96="","",DATE(RIGHT(Tasks!F96,4),MID(Tasks!F96,4,2),LEFT(Tasks!F96,2)))</f>
        <v>46370</v>
      </c>
      <c r="I99" s="22" t="n">
        <f aca="false">IF(Tasks!G96="","",DATE(RIGHT(Tasks!G96,4),MID(Tasks!G96,4,2),LEFT(Tasks!G96,2)))</f>
        <v>46374</v>
      </c>
      <c r="J99" s="20" t="n">
        <f aca="false">IF(H99="",0,NETWORKDAYS(H99,I99))</f>
        <v>5</v>
      </c>
      <c r="K99" s="23" t="n">
        <f aca="false">IF(OR(H99="",J99=0),0,IF(F99="hrs/day",G99,IF(F99="%/day",G99/100*$B$1,G99/J99)))</f>
        <v>2.25</v>
      </c>
      <c r="L99" s="20" t="n">
        <f aca="false">IF(A99="Previous import",$B$2,1)</f>
        <v>1</v>
      </c>
      <c r="M99" s="20" t="n">
        <f aca="false">IF(OR(E99="Closed",E99="Cancelled"),1,0)</f>
        <v>1</v>
      </c>
      <c r="N99" s="23" t="n">
        <f aca="false">K99*J99*L99</f>
        <v>11.25</v>
      </c>
    </row>
    <row r="100" customFormat="false" ht="15" hidden="false" customHeight="true" outlineLevel="0" collapsed="false">
      <c r="A100" s="20" t="s">
        <v>668</v>
      </c>
      <c r="B100" s="20" t="n">
        <v>97</v>
      </c>
      <c r="C100" s="20" t="str">
        <f aca="false">Tasks!A97</f>
        <v>WL Dec W4 Over-allocated - UIAutomation_Workload_Resource</v>
      </c>
      <c r="D100" s="20" t="s">
        <v>397</v>
      </c>
      <c r="E100" s="20" t="str">
        <f aca="false">Tasks!C97</f>
        <v>Cancelled</v>
      </c>
      <c r="F100" s="20" t="str">
        <f aca="false">Tasks!O97</f>
        <v>%/day</v>
      </c>
      <c r="G100" s="21" t="n">
        <v>150</v>
      </c>
      <c r="H100" s="22" t="n">
        <f aca="false">IF(Tasks!F97="","",DATE(RIGHT(Tasks!F97,4),MID(Tasks!F97,4,2),LEFT(Tasks!F97,2)))</f>
        <v>46384</v>
      </c>
      <c r="I100" s="22" t="n">
        <f aca="false">IF(Tasks!G97="","",DATE(RIGHT(Tasks!G97,4),MID(Tasks!G97,4,2),LEFT(Tasks!G97,2)))</f>
        <v>46387</v>
      </c>
      <c r="J100" s="20" t="n">
        <f aca="false">IF(H100="",0,NETWORKDAYS(H100,I100))</f>
        <v>4</v>
      </c>
      <c r="K100" s="23" t="n">
        <f aca="false">IF(OR(H100="",J100=0),0,IF(F100="hrs/day",G100,IF(F100="%/day",G100/100*$B$1,G100/J100)))</f>
        <v>13.5</v>
      </c>
      <c r="L100" s="20" t="n">
        <f aca="false">IF(A100="Previous import",$B$2,1)</f>
        <v>1</v>
      </c>
      <c r="M100" s="20" t="n">
        <f aca="false">IF(OR(E100="Closed",E100="Cancelled"),1,0)</f>
        <v>1</v>
      </c>
      <c r="N100" s="23" t="n">
        <f aca="false">K100*J100*L100</f>
        <v>54</v>
      </c>
    </row>
    <row r="101" customFormat="false" ht="15" hidden="false" customHeight="true" outlineLevel="0" collapsed="false">
      <c r="A101" s="20" t="s">
        <v>668</v>
      </c>
      <c r="B101" s="20" t="n">
        <v>98</v>
      </c>
      <c r="C101" s="20" t="str">
        <f aca="false">Tasks!A98</f>
        <v>WL-E01 Weekend span total hours - Vishal workload</v>
      </c>
      <c r="D101" s="20" t="s">
        <v>39</v>
      </c>
      <c r="E101" s="20" t="str">
        <f aca="false">Tasks!C98</f>
        <v>Open</v>
      </c>
      <c r="F101" s="20" t="str">
        <f aca="false">Tasks!O98</f>
        <v>hrs</v>
      </c>
      <c r="G101" s="21" t="n">
        <v>18</v>
      </c>
      <c r="H101" s="22" t="n">
        <f aca="false">IF(Tasks!F98="","",DATE(RIGHT(Tasks!F98,4),MID(Tasks!F98,4,2),LEFT(Tasks!F98,2)))</f>
        <v>46296</v>
      </c>
      <c r="I101" s="22" t="n">
        <f aca="false">IF(Tasks!G98="","",DATE(RIGHT(Tasks!G98,4),MID(Tasks!G98,4,2),LEFT(Tasks!G98,2)))</f>
        <v>46299</v>
      </c>
      <c r="J101" s="20" t="n">
        <f aca="false">IF(H101="",0,NETWORKDAYS(H101,I101))</f>
        <v>2</v>
      </c>
      <c r="K101" s="23" t="n">
        <f aca="false">IF(OR(H101="",J101=0),0,IF(F101="hrs/day",G101,IF(F101="%/day",G101/100*$B$1,G101/J101)))</f>
        <v>9</v>
      </c>
      <c r="L101" s="20" t="n">
        <f aca="false">IF(A101="Previous import",$B$2,1)</f>
        <v>1</v>
      </c>
      <c r="M101" s="20" t="n">
        <f aca="false">IF(OR(E101="Closed",E101="Cancelled"),1,0)</f>
        <v>0</v>
      </c>
      <c r="N101" s="23" t="n">
        <f aca="false">K101*J101*L101</f>
        <v>18</v>
      </c>
    </row>
    <row r="102" customFormat="false" ht="15" hidden="false" customHeight="true" outlineLevel="0" collapsed="false">
      <c r="A102" s="20" t="s">
        <v>668</v>
      </c>
      <c r="B102" s="20" t="n">
        <v>99</v>
      </c>
      <c r="C102" s="20" t="str">
        <f aca="false">Tasks!A99</f>
        <v>WL-E02 Single-day total hours - Vishal PLAdmin</v>
      </c>
      <c r="D102" s="20" t="s">
        <v>94</v>
      </c>
      <c r="E102" s="20" t="str">
        <f aca="false">Tasks!C99</f>
        <v>In Progress</v>
      </c>
      <c r="F102" s="20" t="str">
        <f aca="false">Tasks!O99</f>
        <v>hrs</v>
      </c>
      <c r="G102" s="21" t="n">
        <v>12</v>
      </c>
      <c r="H102" s="22" t="n">
        <f aca="false">IF(Tasks!F99="","",DATE(RIGHT(Tasks!F99,4),MID(Tasks!F99,4,2),LEFT(Tasks!F99,2)))</f>
        <v>46296</v>
      </c>
      <c r="I102" s="22" t="n">
        <f aca="false">IF(Tasks!G99="","",DATE(RIGHT(Tasks!G99,4),MID(Tasks!G99,4,2),LEFT(Tasks!G99,2)))</f>
        <v>46296</v>
      </c>
      <c r="J102" s="20" t="n">
        <f aca="false">IF(H102="",0,NETWORKDAYS(H102,I102))</f>
        <v>1</v>
      </c>
      <c r="K102" s="23" t="n">
        <f aca="false">IF(OR(H102="",J102=0),0,IF(F102="hrs/day",G102,IF(F102="%/day",G102/100*$B$1,G102/J102)))</f>
        <v>12</v>
      </c>
      <c r="L102" s="20" t="n">
        <f aca="false">IF(A102="Previous import",$B$2,1)</f>
        <v>1</v>
      </c>
      <c r="M102" s="20" t="n">
        <f aca="false">IF(OR(E102="Closed",E102="Cancelled"),1,0)</f>
        <v>0</v>
      </c>
      <c r="N102" s="23" t="n">
        <f aca="false">K102*J102*L102</f>
        <v>12</v>
      </c>
    </row>
    <row r="103" customFormat="false" ht="15" hidden="false" customHeight="true" outlineLevel="0" collapsed="false">
      <c r="A103" s="20" t="s">
        <v>668</v>
      </c>
      <c r="B103" s="20" t="n">
        <v>100</v>
      </c>
      <c r="C103" s="20" t="str">
        <f aca="false">Tasks!A100</f>
        <v>WL-E03 Weekend-only task - vishal PL manager</v>
      </c>
      <c r="D103" s="20" t="s">
        <v>117</v>
      </c>
      <c r="E103" s="20" t="str">
        <f aca="false">Tasks!C100</f>
        <v>In Review</v>
      </c>
      <c r="F103" s="20" t="str">
        <f aca="false">Tasks!O100</f>
        <v>hrs/day</v>
      </c>
      <c r="G103" s="21" t="n">
        <v>4</v>
      </c>
      <c r="H103" s="22" t="n">
        <f aca="false">IF(Tasks!F100="","",DATE(RIGHT(Tasks!F100,4),MID(Tasks!F100,4,2),LEFT(Tasks!F100,2)))</f>
        <v>46298</v>
      </c>
      <c r="I103" s="22" t="n">
        <f aca="false">IF(Tasks!G100="","",DATE(RIGHT(Tasks!G100,4),MID(Tasks!G100,4,2),LEFT(Tasks!G100,2)))</f>
        <v>46299</v>
      </c>
      <c r="J103" s="20" t="n">
        <f aca="false">IF(H103="",0,NETWORKDAYS(H103,I103))</f>
        <v>0</v>
      </c>
      <c r="K103" s="23" t="n">
        <f aca="false">IF(OR(H103="",J103=0),0,IF(F103="hrs/day",G103,IF(F103="%/day",G103/100*$B$1,G103/J103)))</f>
        <v>0</v>
      </c>
      <c r="L103" s="20" t="n">
        <f aca="false">IF(A103="Previous import",$B$2,1)</f>
        <v>1</v>
      </c>
      <c r="M103" s="20" t="n">
        <f aca="false">IF(OR(E103="Closed",E103="Cancelled"),1,0)</f>
        <v>0</v>
      </c>
      <c r="N103" s="23" t="n">
        <f aca="false">K103*J103*L103</f>
        <v>0</v>
      </c>
    </row>
    <row r="104" customFormat="false" ht="15" hidden="false" customHeight="true" outlineLevel="0" collapsed="false">
      <c r="A104" s="20" t="s">
        <v>668</v>
      </c>
      <c r="B104" s="20" t="n">
        <v>101</v>
      </c>
      <c r="C104" s="20" t="str">
        <f aca="false">Tasks!A101</f>
        <v>WL-E04 Zero-hour owned task - Vishal plemployee</v>
      </c>
      <c r="D104" s="20" t="s">
        <v>262</v>
      </c>
      <c r="E104" s="20" t="str">
        <f aca="false">Tasks!C101</f>
        <v>To be Tested</v>
      </c>
      <c r="F104" s="20" t="str">
        <f aca="false">Tasks!O101</f>
        <v>hrs</v>
      </c>
      <c r="G104" s="21" t="n">
        <v>0</v>
      </c>
      <c r="H104" s="22" t="n">
        <f aca="false">IF(Tasks!F101="","",DATE(RIGHT(Tasks!F101,4),MID(Tasks!F101,4,2),LEFT(Tasks!F101,2)))</f>
        <v>46296</v>
      </c>
      <c r="I104" s="22" t="n">
        <f aca="false">IF(Tasks!G101="","",DATE(RIGHT(Tasks!G101,4),MID(Tasks!G101,4,2),LEFT(Tasks!G101,2)))</f>
        <v>46297</v>
      </c>
      <c r="J104" s="20" t="n">
        <f aca="false">IF(H104="",0,NETWORKDAYS(H104,I104))</f>
        <v>2</v>
      </c>
      <c r="K104" s="23" t="n">
        <f aca="false">IF(OR(H104="",J104=0),0,IF(F104="hrs/day",G104,IF(F104="%/day",G104/100*$B$1,G104/J104)))</f>
        <v>0</v>
      </c>
      <c r="L104" s="20" t="n">
        <f aca="false">IF(A104="Previous import",$B$2,1)</f>
        <v>1</v>
      </c>
      <c r="M104" s="20" t="n">
        <f aca="false">IF(OR(E104="Closed",E104="Cancelled"),1,0)</f>
        <v>0</v>
      </c>
      <c r="N104" s="23" t="n">
        <f aca="false">K104*J104*L104</f>
        <v>0</v>
      </c>
    </row>
    <row r="105" customFormat="false" ht="15" hidden="false" customHeight="true" outlineLevel="0" collapsed="false">
      <c r="A105" s="20" t="s">
        <v>668</v>
      </c>
      <c r="B105" s="20" t="n">
        <v>102</v>
      </c>
      <c r="C105" s="20" t="str">
        <f aca="false">Tasks!A102</f>
        <v>WL-E05 150 percent per day - Vishal customprofile</v>
      </c>
      <c r="D105" s="20" t="s">
        <v>367</v>
      </c>
      <c r="E105" s="20" t="str">
        <f aca="false">Tasks!C102</f>
        <v>On Hold</v>
      </c>
      <c r="F105" s="20" t="str">
        <f aca="false">Tasks!O102</f>
        <v>%/day</v>
      </c>
      <c r="G105" s="21" t="n">
        <v>150</v>
      </c>
      <c r="H105" s="22" t="n">
        <f aca="false">IF(Tasks!F102="","",DATE(RIGHT(Tasks!F102,4),MID(Tasks!F102,4,2),LEFT(Tasks!F102,2)))</f>
        <v>46296</v>
      </c>
      <c r="I105" s="22" t="n">
        <f aca="false">IF(Tasks!G102="","",DATE(RIGHT(Tasks!G102,4),MID(Tasks!G102,4,2),LEFT(Tasks!G102,2)))</f>
        <v>46297</v>
      </c>
      <c r="J105" s="20" t="n">
        <f aca="false">IF(H105="",0,NETWORKDAYS(H105,I105))</f>
        <v>2</v>
      </c>
      <c r="K105" s="23" t="n">
        <f aca="false">IF(OR(H105="",J105=0),0,IF(F105="hrs/day",G105,IF(F105="%/day",G105/100*$B$1,G105/J105)))</f>
        <v>13.5</v>
      </c>
      <c r="L105" s="20" t="n">
        <f aca="false">IF(A105="Previous import",$B$2,1)</f>
        <v>1</v>
      </c>
      <c r="M105" s="20" t="n">
        <f aca="false">IF(OR(E105="Closed",E105="Cancelled"),1,0)</f>
        <v>0</v>
      </c>
      <c r="N105" s="23" t="n">
        <f aca="false">K105*J105*L105</f>
        <v>27</v>
      </c>
    </row>
    <row r="106" customFormat="false" ht="15" hidden="false" customHeight="true" outlineLevel="0" collapsed="false">
      <c r="A106" s="20" t="s">
        <v>668</v>
      </c>
      <c r="B106" s="20" t="n">
        <v>103</v>
      </c>
      <c r="C106" s="20" t="str">
        <f aca="false">Tasks!A103</f>
        <v>WL-E06 Cross-month total hours - Vishal plreadonly</v>
      </c>
      <c r="D106" s="20" t="s">
        <v>298</v>
      </c>
      <c r="E106" s="20" t="str">
        <f aca="false">Tasks!C103</f>
        <v>Delayed</v>
      </c>
      <c r="F106" s="20" t="str">
        <f aca="false">Tasks!O103</f>
        <v>hrs</v>
      </c>
      <c r="G106" s="21" t="n">
        <v>45</v>
      </c>
      <c r="H106" s="22" t="n">
        <f aca="false">IF(Tasks!F103="","",DATE(RIGHT(Tasks!F103,4),MID(Tasks!F103,4,2),LEFT(Tasks!F103,2)))</f>
        <v>46356</v>
      </c>
      <c r="I106" s="22" t="n">
        <f aca="false">IF(Tasks!G103="","",DATE(RIGHT(Tasks!G103,4),MID(Tasks!G103,4,2),LEFT(Tasks!G103,2)))</f>
        <v>46360</v>
      </c>
      <c r="J106" s="20" t="n">
        <f aca="false">IF(H106="",0,NETWORKDAYS(H106,I106))</f>
        <v>5</v>
      </c>
      <c r="K106" s="23" t="n">
        <f aca="false">IF(OR(H106="",J106=0),0,IF(F106="hrs/day",G106,IF(F106="%/day",G106/100*$B$1,G106/J106)))</f>
        <v>9</v>
      </c>
      <c r="L106" s="20" t="n">
        <f aca="false">IF(A106="Previous import",$B$2,1)</f>
        <v>1</v>
      </c>
      <c r="M106" s="20" t="n">
        <f aca="false">IF(OR(E106="Closed",E106="Cancelled"),1,0)</f>
        <v>0</v>
      </c>
      <c r="N106" s="23" t="n">
        <f aca="false">K106*J106*L106</f>
        <v>45</v>
      </c>
    </row>
    <row r="107" customFormat="false" ht="15" hidden="false" customHeight="true" outlineLevel="0" collapsed="false">
      <c r="A107" s="20" t="s">
        <v>668</v>
      </c>
      <c r="B107" s="20" t="n">
        <v>104</v>
      </c>
      <c r="C107" s="20" t="str">
        <f aca="false">Tasks!A104</f>
        <v>WL-E07 Resource cross-month - UIAutomation_Workload_Resource</v>
      </c>
      <c r="D107" s="20" t="s">
        <v>397</v>
      </c>
      <c r="E107" s="20" t="str">
        <f aca="false">Tasks!C104</f>
        <v>Closed</v>
      </c>
      <c r="F107" s="20" t="str">
        <f aca="false">Tasks!O104</f>
        <v>hrs/day</v>
      </c>
      <c r="G107" s="21" t="n">
        <v>9</v>
      </c>
      <c r="H107" s="22" t="n">
        <f aca="false">IF(Tasks!F104="","",DATE(RIGHT(Tasks!F104,4),MID(Tasks!F104,4,2),LEFT(Tasks!F104,2)))</f>
        <v>46356</v>
      </c>
      <c r="I107" s="22" t="n">
        <f aca="false">IF(Tasks!G104="","",DATE(RIGHT(Tasks!G104,4),MID(Tasks!G104,4,2),LEFT(Tasks!G104,2)))</f>
        <v>46360</v>
      </c>
      <c r="J107" s="20" t="n">
        <f aca="false">IF(H107="",0,NETWORKDAYS(H107,I107))</f>
        <v>5</v>
      </c>
      <c r="K107" s="23" t="n">
        <f aca="false">IF(OR(H107="",J107=0),0,IF(F107="hrs/day",G107,IF(F107="%/day",G107/100*$B$1,G107/J107)))</f>
        <v>9</v>
      </c>
      <c r="L107" s="20" t="n">
        <f aca="false">IF(A107="Previous import",$B$2,1)</f>
        <v>1</v>
      </c>
      <c r="M107" s="20" t="n">
        <f aca="false">IF(OR(E107="Closed",E107="Cancelled"),1,0)</f>
        <v>1</v>
      </c>
      <c r="N107" s="23" t="n">
        <f aca="false">K107*J107*L107</f>
        <v>45</v>
      </c>
    </row>
    <row r="108" customFormat="false" ht="15" hidden="false" customHeight="true" outlineLevel="0" collapsed="false">
      <c r="A108" s="20" t="s">
        <v>668</v>
      </c>
      <c r="B108" s="20" t="n">
        <v>105</v>
      </c>
      <c r="C108" s="20" t="str">
        <f aca="false">Tasks!A105</f>
        <v>WL-E08 Multi-owner different hours - Vishal liteuser and Vishal customprofile</v>
      </c>
      <c r="D108" s="20" t="s">
        <v>333</v>
      </c>
      <c r="E108" s="20" t="str">
        <f aca="false">Tasks!C105</f>
        <v>Cancelled</v>
      </c>
      <c r="F108" s="20" t="str">
        <f aca="false">Tasks!O105</f>
        <v>hrs/day</v>
      </c>
      <c r="G108" s="21" t="n">
        <v>6</v>
      </c>
      <c r="H108" s="22" t="n">
        <f aca="false">IF(Tasks!F105="","",DATE(RIGHT(Tasks!F105,4),MID(Tasks!F105,4,2),LEFT(Tasks!F105,2)))</f>
        <v>46357</v>
      </c>
      <c r="I108" s="22" t="n">
        <f aca="false">IF(Tasks!G105="","",DATE(RIGHT(Tasks!G105,4),MID(Tasks!G105,4,2),LEFT(Tasks!G105,2)))</f>
        <v>46360</v>
      </c>
      <c r="J108" s="20" t="n">
        <f aca="false">IF(H108="",0,NETWORKDAYS(H108,I108))</f>
        <v>4</v>
      </c>
      <c r="K108" s="23" t="n">
        <f aca="false">IF(OR(H108="",J108=0),0,IF(F108="hrs/day",G108,IF(F108="%/day",G108/100*$B$1,G108/J108)))</f>
        <v>6</v>
      </c>
      <c r="L108" s="20" t="n">
        <f aca="false">IF(A108="Previous import",$B$2,1)</f>
        <v>1</v>
      </c>
      <c r="M108" s="20" t="n">
        <f aca="false">IF(OR(E108="Closed",E108="Cancelled"),1,0)</f>
        <v>1</v>
      </c>
      <c r="N108" s="23" t="n">
        <f aca="false">K108*J108*L108</f>
        <v>24</v>
      </c>
    </row>
    <row r="109" customFormat="false" ht="15" hidden="false" customHeight="true" outlineLevel="0" collapsed="false">
      <c r="A109" s="20" t="s">
        <v>668</v>
      </c>
      <c r="B109" s="20" t="n">
        <v>105</v>
      </c>
      <c r="C109" s="20" t="str">
        <f aca="false">Tasks!A105</f>
        <v>WL-E08 Multi-owner different hours - Vishal liteuser and Vishal customprofile</v>
      </c>
      <c r="D109" s="20" t="s">
        <v>367</v>
      </c>
      <c r="E109" s="20" t="str">
        <f aca="false">Tasks!C105</f>
        <v>Cancelled</v>
      </c>
      <c r="F109" s="20" t="str">
        <f aca="false">Tasks!O105</f>
        <v>hrs/day</v>
      </c>
      <c r="G109" s="21" t="n">
        <v>3</v>
      </c>
      <c r="H109" s="22" t="n">
        <f aca="false">IF(Tasks!F105="","",DATE(RIGHT(Tasks!F105,4),MID(Tasks!F105,4,2),LEFT(Tasks!F105,2)))</f>
        <v>46357</v>
      </c>
      <c r="I109" s="22" t="n">
        <f aca="false">IF(Tasks!G105="","",DATE(RIGHT(Tasks!G105,4),MID(Tasks!G105,4,2),LEFT(Tasks!G105,2)))</f>
        <v>46360</v>
      </c>
      <c r="J109" s="20" t="n">
        <f aca="false">IF(H109="",0,NETWORKDAYS(H109,I109))</f>
        <v>4</v>
      </c>
      <c r="K109" s="23" t="n">
        <f aca="false">IF(OR(H109="",J109=0),0,IF(F109="hrs/day",G109,IF(F109="%/day",G109/100*$B$1,G109/J109)))</f>
        <v>3</v>
      </c>
      <c r="L109" s="20" t="n">
        <f aca="false">IF(A109="Previous import",$B$2,1)</f>
        <v>1</v>
      </c>
      <c r="M109" s="20" t="n">
        <f aca="false">IF(OR(E109="Closed",E109="Cancelled"),1,0)</f>
        <v>1</v>
      </c>
      <c r="N109" s="23" t="n">
        <f aca="false">K109*J109*L109</f>
        <v>12</v>
      </c>
    </row>
    <row r="110" customFormat="false" ht="15" hidden="false" customHeight="true" outlineLevel="0" collapsed="false">
      <c r="A110" s="20" t="s">
        <v>668</v>
      </c>
      <c r="B110" s="20" t="n">
        <v>106</v>
      </c>
      <c r="C110" s="20" t="str">
        <f aca="false">Tasks!A106</f>
        <v>WL-E09 Multi-owner percent - Vishal workload, Vishal PLAdmin, vishal PL manager</v>
      </c>
      <c r="D110" s="20" t="s">
        <v>39</v>
      </c>
      <c r="E110" s="20" t="str">
        <f aca="false">Tasks!C106</f>
        <v>Open</v>
      </c>
      <c r="F110" s="20" t="str">
        <f aca="false">Tasks!O106</f>
        <v>%/day</v>
      </c>
      <c r="G110" s="21" t="n">
        <v>50</v>
      </c>
      <c r="H110" s="22" t="n">
        <f aca="false">IF(Tasks!F106="","",DATE(RIGHT(Tasks!F106,4),MID(Tasks!F106,4,2),LEFT(Tasks!F106,2)))</f>
        <v>46357</v>
      </c>
      <c r="I110" s="22" t="n">
        <f aca="false">IF(Tasks!G106="","",DATE(RIGHT(Tasks!G106,4),MID(Tasks!G106,4,2),LEFT(Tasks!G106,2)))</f>
        <v>46360</v>
      </c>
      <c r="J110" s="20" t="n">
        <f aca="false">IF(H110="",0,NETWORKDAYS(H110,I110))</f>
        <v>4</v>
      </c>
      <c r="K110" s="23" t="n">
        <f aca="false">IF(OR(H110="",J110=0),0,IF(F110="hrs/day",G110,IF(F110="%/day",G110/100*$B$1,G110/J110)))</f>
        <v>4.5</v>
      </c>
      <c r="L110" s="20" t="n">
        <f aca="false">IF(A110="Previous import",$B$2,1)</f>
        <v>1</v>
      </c>
      <c r="M110" s="20" t="n">
        <f aca="false">IF(OR(E110="Closed",E110="Cancelled"),1,0)</f>
        <v>0</v>
      </c>
      <c r="N110" s="23" t="n">
        <f aca="false">K110*J110*L110</f>
        <v>18</v>
      </c>
    </row>
    <row r="111" customFormat="false" ht="15" hidden="false" customHeight="true" outlineLevel="0" collapsed="false">
      <c r="A111" s="20" t="s">
        <v>668</v>
      </c>
      <c r="B111" s="20" t="n">
        <v>106</v>
      </c>
      <c r="C111" s="20" t="str">
        <f aca="false">Tasks!A106</f>
        <v>WL-E09 Multi-owner percent - Vishal workload, Vishal PLAdmin, vishal PL manager</v>
      </c>
      <c r="D111" s="20" t="s">
        <v>94</v>
      </c>
      <c r="E111" s="20" t="str">
        <f aca="false">Tasks!C106</f>
        <v>Open</v>
      </c>
      <c r="F111" s="20" t="str">
        <f aca="false">Tasks!O106</f>
        <v>%/day</v>
      </c>
      <c r="G111" s="21" t="n">
        <v>25</v>
      </c>
      <c r="H111" s="22" t="n">
        <f aca="false">IF(Tasks!F106="","",DATE(RIGHT(Tasks!F106,4),MID(Tasks!F106,4,2),LEFT(Tasks!F106,2)))</f>
        <v>46357</v>
      </c>
      <c r="I111" s="22" t="n">
        <f aca="false">IF(Tasks!G106="","",DATE(RIGHT(Tasks!G106,4),MID(Tasks!G106,4,2),LEFT(Tasks!G106,2)))</f>
        <v>46360</v>
      </c>
      <c r="J111" s="20" t="n">
        <f aca="false">IF(H111="",0,NETWORKDAYS(H111,I111))</f>
        <v>4</v>
      </c>
      <c r="K111" s="23" t="n">
        <f aca="false">IF(OR(H111="",J111=0),0,IF(F111="hrs/day",G111,IF(F111="%/day",G111/100*$B$1,G111/J111)))</f>
        <v>2.25</v>
      </c>
      <c r="L111" s="20" t="n">
        <f aca="false">IF(A111="Previous import",$B$2,1)</f>
        <v>1</v>
      </c>
      <c r="M111" s="20" t="n">
        <f aca="false">IF(OR(E111="Closed",E111="Cancelled"),1,0)</f>
        <v>0</v>
      </c>
      <c r="N111" s="23" t="n">
        <f aca="false">K111*J111*L111</f>
        <v>9</v>
      </c>
    </row>
    <row r="112" customFormat="false" ht="15" hidden="false" customHeight="true" outlineLevel="0" collapsed="false">
      <c r="A112" s="20" t="s">
        <v>668</v>
      </c>
      <c r="B112" s="20" t="n">
        <v>106</v>
      </c>
      <c r="C112" s="20" t="str">
        <f aca="false">Tasks!A106</f>
        <v>WL-E09 Multi-owner percent - Vishal workload, Vishal PLAdmin, vishal PL manager</v>
      </c>
      <c r="D112" s="20" t="s">
        <v>117</v>
      </c>
      <c r="E112" s="20" t="str">
        <f aca="false">Tasks!C106</f>
        <v>Open</v>
      </c>
      <c r="F112" s="20" t="str">
        <f aca="false">Tasks!O106</f>
        <v>%/day</v>
      </c>
      <c r="G112" s="21" t="n">
        <v>25</v>
      </c>
      <c r="H112" s="22" t="n">
        <f aca="false">IF(Tasks!F106="","",DATE(RIGHT(Tasks!F106,4),MID(Tasks!F106,4,2),LEFT(Tasks!F106,2)))</f>
        <v>46357</v>
      </c>
      <c r="I112" s="22" t="n">
        <f aca="false">IF(Tasks!G106="","",DATE(RIGHT(Tasks!G106,4),MID(Tasks!G106,4,2),LEFT(Tasks!G106,2)))</f>
        <v>46360</v>
      </c>
      <c r="J112" s="20" t="n">
        <f aca="false">IF(H112="",0,NETWORKDAYS(H112,I112))</f>
        <v>4</v>
      </c>
      <c r="K112" s="23" t="n">
        <f aca="false">IF(OR(H112="",J112=0),0,IF(F112="hrs/day",G112,IF(F112="%/day",G112/100*$B$1,G112/J112)))</f>
        <v>2.25</v>
      </c>
      <c r="L112" s="20" t="n">
        <f aca="false">IF(A112="Previous import",$B$2,1)</f>
        <v>1</v>
      </c>
      <c r="M112" s="20" t="n">
        <f aca="false">IF(OR(E112="Closed",E112="Cancelled"),1,0)</f>
        <v>0</v>
      </c>
      <c r="N112" s="23" t="n">
        <f aca="false">K112*J112*L112</f>
        <v>9</v>
      </c>
    </row>
    <row r="113" customFormat="false" ht="15" hidden="false" customHeight="true" outlineLevel="0" collapsed="false">
      <c r="A113" s="20" t="s">
        <v>668</v>
      </c>
      <c r="B113" s="20" t="n">
        <v>107</v>
      </c>
      <c r="C113" s="20" t="str">
        <f aca="false">Tasks!A107</f>
        <v>WL-E10 Unassigned task with hours</v>
      </c>
      <c r="D113" s="20" t="s">
        <v>502</v>
      </c>
      <c r="E113" s="20" t="str">
        <f aca="false">Tasks!C107</f>
        <v>In Progress</v>
      </c>
      <c r="F113" s="20" t="str">
        <f aca="false">Tasks!O107</f>
        <v>hrs/day</v>
      </c>
      <c r="G113" s="21" t="n">
        <v>4</v>
      </c>
      <c r="H113" s="22" t="n">
        <f aca="false">IF(Tasks!F107="","",DATE(RIGHT(Tasks!F107,4),MID(Tasks!F107,4,2),LEFT(Tasks!F107,2)))</f>
        <v>46300</v>
      </c>
      <c r="I113" s="22" t="n">
        <f aca="false">IF(Tasks!G107="","",DATE(RIGHT(Tasks!G107,4),MID(Tasks!G107,4,2),LEFT(Tasks!G107,2)))</f>
        <v>46304</v>
      </c>
      <c r="J113" s="20" t="n">
        <f aca="false">IF(H113="",0,NETWORKDAYS(H113,I113))</f>
        <v>5</v>
      </c>
      <c r="K113" s="23" t="n">
        <f aca="false">IF(OR(H113="",J113=0),0,IF(F113="hrs/day",G113,IF(F113="%/day",G113/100*$B$1,G113/J113)))</f>
        <v>4</v>
      </c>
      <c r="L113" s="20" t="n">
        <f aca="false">IF(A113="Previous import",$B$2,1)</f>
        <v>1</v>
      </c>
      <c r="M113" s="20" t="n">
        <f aca="false">IF(OR(E113="Closed",E113="Cancelled"),1,0)</f>
        <v>0</v>
      </c>
      <c r="N113" s="23" t="n">
        <f aca="false">K113*J113*L113</f>
        <v>20</v>
      </c>
    </row>
    <row r="114" customFormat="false" ht="15" hidden="false" customHeight="true" outlineLevel="0" collapsed="false">
      <c r="A114" s="20" t="s">
        <v>668</v>
      </c>
      <c r="B114" s="20" t="n">
        <v>108</v>
      </c>
      <c r="C114" s="20" t="str">
        <f aca="false">Tasks!A108</f>
        <v>WL-E11 Unassigned task without hours</v>
      </c>
      <c r="D114" s="20" t="s">
        <v>502</v>
      </c>
      <c r="E114" s="20" t="str">
        <f aca="false">Tasks!C108</f>
        <v>In Review</v>
      </c>
      <c r="F114" s="20" t="str">
        <f aca="false">Tasks!O108</f>
        <v>hrs</v>
      </c>
      <c r="G114" s="21" t="n">
        <v>0</v>
      </c>
      <c r="H114" s="22" t="n">
        <f aca="false">IF(Tasks!F108="","",DATE(RIGHT(Tasks!F108,4),MID(Tasks!F108,4,2),LEFT(Tasks!F108,2)))</f>
        <v>46328</v>
      </c>
      <c r="I114" s="22" t="n">
        <f aca="false">IF(Tasks!G108="","",DATE(RIGHT(Tasks!G108,4),MID(Tasks!G108,4,2),LEFT(Tasks!G108,2)))</f>
        <v>46332</v>
      </c>
      <c r="J114" s="20" t="n">
        <f aca="false">IF(H114="",0,NETWORKDAYS(H114,I114))</f>
        <v>5</v>
      </c>
      <c r="K114" s="23" t="n">
        <f aca="false">IF(OR(H114="",J114=0),0,IF(F114="hrs/day",G114,IF(F114="%/day",G114/100*$B$1,G114/J114)))</f>
        <v>0</v>
      </c>
      <c r="L114" s="20" t="n">
        <f aca="false">IF(A114="Previous import",$B$2,1)</f>
        <v>1</v>
      </c>
      <c r="M114" s="20" t="n">
        <f aca="false">IF(OR(E114="Closed",E114="Cancelled"),1,0)</f>
        <v>0</v>
      </c>
      <c r="N114" s="23" t="n">
        <f aca="false">K114*J114*L114</f>
        <v>0</v>
      </c>
    </row>
    <row r="115" customFormat="false" ht="15" hidden="false" customHeight="true" outlineLevel="0" collapsed="false">
      <c r="A115" s="20" t="s">
        <v>668</v>
      </c>
      <c r="B115" s="20" t="n">
        <v>109</v>
      </c>
      <c r="C115" s="20" t="str">
        <f aca="false">Tasks!A109</f>
        <v>WL-E12 No dates task - Vishal workload</v>
      </c>
      <c r="D115" s="20" t="s">
        <v>39</v>
      </c>
      <c r="E115" s="20" t="str">
        <f aca="false">Tasks!C109</f>
        <v>To be Tested</v>
      </c>
      <c r="F115" s="20" t="str">
        <f aca="false">Tasks!O109</f>
        <v>hrs</v>
      </c>
      <c r="G115" s="21" t="n">
        <v>10</v>
      </c>
      <c r="H115" s="22" t="str">
        <f aca="false">IF(Tasks!F109="","",DATE(RIGHT(Tasks!F109,4),MID(Tasks!F109,4,2),LEFT(Tasks!F109,2)))</f>
        <v/>
      </c>
      <c r="I115" s="22" t="str">
        <f aca="false">IF(Tasks!G109="","",DATE(RIGHT(Tasks!G109,4),MID(Tasks!G109,4,2),LEFT(Tasks!G109,2)))</f>
        <v/>
      </c>
      <c r="J115" s="20" t="n">
        <f aca="false">IF(H115="",0,NETWORKDAYS(H115,I115))</f>
        <v>0</v>
      </c>
      <c r="K115" s="23" t="n">
        <f aca="false">IF(OR(H115="",J115=0),0,IF(F115="hrs/day",G115,IF(F115="%/day",G115/100*$B$1,G115/J115)))</f>
        <v>0</v>
      </c>
      <c r="L115" s="20" t="n">
        <f aca="false">IF(A115="Previous import",$B$2,1)</f>
        <v>1</v>
      </c>
      <c r="M115" s="20" t="n">
        <f aca="false">IF(OR(E115="Closed",E115="Cancelled"),1,0)</f>
        <v>0</v>
      </c>
      <c r="N115" s="23" t="n">
        <f aca="false">K115*J115*L115</f>
        <v>0</v>
      </c>
    </row>
    <row r="116" customFormat="false" ht="15" hidden="false" customHeight="true" outlineLevel="0" collapsed="false">
      <c r="A116" s="20" t="s">
        <v>668</v>
      </c>
      <c r="B116" s="20" t="n">
        <v>110</v>
      </c>
      <c r="C116" s="20" t="str">
        <f aca="false">Tasks!A110</f>
        <v>WL-E13 Single Friday full day - Vishal liteuser</v>
      </c>
      <c r="D116" s="20" t="s">
        <v>333</v>
      </c>
      <c r="E116" s="20" t="str">
        <f aca="false">Tasks!C110</f>
        <v>On Hold</v>
      </c>
      <c r="F116" s="20" t="str">
        <f aca="false">Tasks!O110</f>
        <v>hrs/day</v>
      </c>
      <c r="G116" s="21" t="n">
        <v>9</v>
      </c>
      <c r="H116" s="22" t="n">
        <f aca="false">IF(Tasks!F110="","",DATE(RIGHT(Tasks!F110,4),MID(Tasks!F110,4,2),LEFT(Tasks!F110,2)))</f>
        <v>46297</v>
      </c>
      <c r="I116" s="22" t="n">
        <f aca="false">IF(Tasks!G110="","",DATE(RIGHT(Tasks!G110,4),MID(Tasks!G110,4,2),LEFT(Tasks!G110,2)))</f>
        <v>46297</v>
      </c>
      <c r="J116" s="20" t="n">
        <f aca="false">IF(H116="",0,NETWORKDAYS(H116,I116))</f>
        <v>1</v>
      </c>
      <c r="K116" s="23" t="n">
        <f aca="false">IF(OR(H116="",J116=0),0,IF(F116="hrs/day",G116,IF(F116="%/day",G116/100*$B$1,G116/J116)))</f>
        <v>9</v>
      </c>
      <c r="L116" s="20" t="n">
        <f aca="false">IF(A116="Previous import",$B$2,1)</f>
        <v>1</v>
      </c>
      <c r="M116" s="20" t="n">
        <f aca="false">IF(OR(E116="Closed",E116="Cancelled"),1,0)</f>
        <v>0</v>
      </c>
      <c r="N116" s="23" t="n">
        <f aca="false">K116*J116*L116</f>
        <v>9</v>
      </c>
    </row>
    <row r="117" customFormat="false" ht="15" hidden="false" customHeight="true" outlineLevel="0" collapsed="false">
      <c r="A117" s="20" t="s">
        <v>668</v>
      </c>
      <c r="B117" s="20" t="n">
        <v>111</v>
      </c>
      <c r="C117" s="20" t="str">
        <f aca="false">Tasks!A111</f>
        <v>WL-E14 60 percent single day - UIAutomation_Workload_Resource</v>
      </c>
      <c r="D117" s="20" t="s">
        <v>397</v>
      </c>
      <c r="E117" s="20" t="str">
        <f aca="false">Tasks!C111</f>
        <v>Delayed</v>
      </c>
      <c r="F117" s="20" t="str">
        <f aca="false">Tasks!O111</f>
        <v>%/day</v>
      </c>
      <c r="G117" s="21" t="n">
        <v>60</v>
      </c>
      <c r="H117" s="22" t="n">
        <f aca="false">IF(Tasks!F111="","",DATE(RIGHT(Tasks!F111,4),MID(Tasks!F111,4,2),LEFT(Tasks!F111,2)))</f>
        <v>46296</v>
      </c>
      <c r="I117" s="22" t="n">
        <f aca="false">IF(Tasks!G111="","",DATE(RIGHT(Tasks!G111,4),MID(Tasks!G111,4,2),LEFT(Tasks!G111,2)))</f>
        <v>46296</v>
      </c>
      <c r="J117" s="20" t="n">
        <f aca="false">IF(H117="",0,NETWORKDAYS(H117,I117))</f>
        <v>1</v>
      </c>
      <c r="K117" s="23" t="n">
        <f aca="false">IF(OR(H117="",J117=0),0,IF(F117="hrs/day",G117,IF(F117="%/day",G117/100*$B$1,G117/J117)))</f>
        <v>5.4</v>
      </c>
      <c r="L117" s="20" t="n">
        <f aca="false">IF(A117="Previous import",$B$2,1)</f>
        <v>1</v>
      </c>
      <c r="M117" s="20" t="n">
        <f aca="false">IF(OR(E117="Closed",E117="Cancelled"),1,0)</f>
        <v>0</v>
      </c>
      <c r="N117" s="23" t="n">
        <f aca="false">K117*J117*L117</f>
        <v>5.4</v>
      </c>
    </row>
    <row r="118" customFormat="false" ht="15" hidden="false" customHeight="true" outlineLevel="0" collapsed="false">
      <c r="A118" s="20" t="s">
        <v>668</v>
      </c>
      <c r="B118" s="20" t="n">
        <v>112</v>
      </c>
      <c r="C118" s="20" t="str">
        <f aca="false">Tasks!A112</f>
        <v>WL-E15 Multi-owner same hours - vishal PL manager and Vishal plemployee</v>
      </c>
      <c r="D118" s="20" t="s">
        <v>117</v>
      </c>
      <c r="E118" s="20" t="str">
        <f aca="false">Tasks!C112</f>
        <v>Closed</v>
      </c>
      <c r="F118" s="20" t="str">
        <f aca="false">Tasks!O112</f>
        <v>hrs/day</v>
      </c>
      <c r="G118" s="21" t="n">
        <v>4.5</v>
      </c>
      <c r="H118" s="22" t="n">
        <f aca="false">IF(Tasks!F112="","",DATE(RIGHT(Tasks!F112,4),MID(Tasks!F112,4,2),LEFT(Tasks!F112,2)))</f>
        <v>46356</v>
      </c>
      <c r="I118" s="22" t="n">
        <f aca="false">IF(Tasks!G112="","",DATE(RIGHT(Tasks!G112,4),MID(Tasks!G112,4,2),LEFT(Tasks!G112,2)))</f>
        <v>46356</v>
      </c>
      <c r="J118" s="20" t="n">
        <f aca="false">IF(H118="",0,NETWORKDAYS(H118,I118))</f>
        <v>1</v>
      </c>
      <c r="K118" s="23" t="n">
        <f aca="false">IF(OR(H118="",J118=0),0,IF(F118="hrs/day",G118,IF(F118="%/day",G118/100*$B$1,G118/J118)))</f>
        <v>4.5</v>
      </c>
      <c r="L118" s="20" t="n">
        <f aca="false">IF(A118="Previous import",$B$2,1)</f>
        <v>1</v>
      </c>
      <c r="M118" s="20" t="n">
        <f aca="false">IF(OR(E118="Closed",E118="Cancelled"),1,0)</f>
        <v>1</v>
      </c>
      <c r="N118" s="23" t="n">
        <f aca="false">K118*J118*L118</f>
        <v>4.5</v>
      </c>
    </row>
    <row r="119" customFormat="false" ht="15" hidden="false" customHeight="true" outlineLevel="0" collapsed="false">
      <c r="A119" s="20" t="s">
        <v>668</v>
      </c>
      <c r="B119" s="20" t="n">
        <v>112</v>
      </c>
      <c r="C119" s="20" t="str">
        <f aca="false">Tasks!A112</f>
        <v>WL-E15 Multi-owner same hours - vishal PL manager and Vishal plemployee</v>
      </c>
      <c r="D119" s="20" t="s">
        <v>262</v>
      </c>
      <c r="E119" s="20" t="str">
        <f aca="false">Tasks!C112</f>
        <v>Closed</v>
      </c>
      <c r="F119" s="20" t="str">
        <f aca="false">Tasks!O112</f>
        <v>hrs/day</v>
      </c>
      <c r="G119" s="21" t="n">
        <v>4.5</v>
      </c>
      <c r="H119" s="22" t="n">
        <f aca="false">IF(Tasks!F112="","",DATE(RIGHT(Tasks!F112,4),MID(Tasks!F112,4,2),LEFT(Tasks!F112,2)))</f>
        <v>46356</v>
      </c>
      <c r="I119" s="22" t="n">
        <f aca="false">IF(Tasks!G112="","",DATE(RIGHT(Tasks!G112,4),MID(Tasks!G112,4,2),LEFT(Tasks!G112,2)))</f>
        <v>46356</v>
      </c>
      <c r="J119" s="20" t="n">
        <f aca="false">IF(H119="",0,NETWORKDAYS(H119,I119))</f>
        <v>1</v>
      </c>
      <c r="K119" s="23" t="n">
        <f aca="false">IF(OR(H119="",J119=0),0,IF(F119="hrs/day",G119,IF(F119="%/day",G119/100*$B$1,G119/J119)))</f>
        <v>4.5</v>
      </c>
      <c r="L119" s="20" t="n">
        <f aca="false">IF(A119="Previous import",$B$2,1)</f>
        <v>1</v>
      </c>
      <c r="M119" s="20" t="n">
        <f aca="false">IF(OR(E119="Closed",E119="Cancelled"),1,0)</f>
        <v>1</v>
      </c>
      <c r="N119" s="23" t="n">
        <f aca="false">K119*J119*L119</f>
        <v>4.5</v>
      </c>
    </row>
    <row r="120" customFormat="false" ht="15" hidden="false" customHeight="true" outlineLevel="0" collapsed="false">
      <c r="A120" s="20" t="s">
        <v>565</v>
      </c>
      <c r="B120" s="20"/>
      <c r="C120" s="21" t="s">
        <v>669</v>
      </c>
      <c r="D120" s="20" t="s">
        <v>39</v>
      </c>
      <c r="E120" s="21" t="s">
        <v>40</v>
      </c>
      <c r="F120" s="21" t="s">
        <v>52</v>
      </c>
      <c r="G120" s="21" t="n">
        <v>4.5</v>
      </c>
      <c r="H120" s="24" t="n">
        <v>46296</v>
      </c>
      <c r="I120" s="24" t="n">
        <v>46326</v>
      </c>
      <c r="J120" s="20" t="n">
        <f aca="false">IF(H120="",0,NETWORKDAYS(H120,I120))</f>
        <v>22</v>
      </c>
      <c r="K120" s="23" t="n">
        <f aca="false">IF(OR(H120="",J120=0),0,IF(F120="hrs/day",G120,IF(F120="%/day",G120/100*$B$1,G120/J120)))</f>
        <v>4.5</v>
      </c>
      <c r="L120" s="20" t="n">
        <f aca="false">IF(A120="Previous import",$B$2,1)</f>
        <v>1</v>
      </c>
      <c r="M120" s="20" t="n">
        <f aca="false">IF(OR(E120="Closed",E120="Cancelled"),1,0)</f>
        <v>0</v>
      </c>
      <c r="N120" s="23" t="n">
        <f aca="false">K120*J120*L120</f>
        <v>99</v>
      </c>
    </row>
    <row r="121" customFormat="false" ht="15" hidden="false" customHeight="true" outlineLevel="0" collapsed="false">
      <c r="A121" s="20" t="s">
        <v>565</v>
      </c>
      <c r="B121" s="20"/>
      <c r="C121" s="21" t="s">
        <v>670</v>
      </c>
      <c r="D121" s="20" t="s">
        <v>39</v>
      </c>
      <c r="E121" s="21" t="s">
        <v>57</v>
      </c>
      <c r="F121" s="21" t="s">
        <v>52</v>
      </c>
      <c r="G121" s="21" t="n">
        <v>4.5</v>
      </c>
      <c r="H121" s="24" t="n">
        <v>46296</v>
      </c>
      <c r="I121" s="24" t="n">
        <v>46326</v>
      </c>
      <c r="J121" s="20" t="n">
        <f aca="false">IF(H121="",0,NETWORKDAYS(H121,I121))</f>
        <v>22</v>
      </c>
      <c r="K121" s="23" t="n">
        <f aca="false">IF(OR(H121="",J121=0),0,IF(F121="hrs/day",G121,IF(F121="%/day",G121/100*$B$1,G121/J121)))</f>
        <v>4.5</v>
      </c>
      <c r="L121" s="20" t="n">
        <f aca="false">IF(A121="Previous import",$B$2,1)</f>
        <v>1</v>
      </c>
      <c r="M121" s="20" t="n">
        <f aca="false">IF(OR(E121="Closed",E121="Cancelled"),1,0)</f>
        <v>0</v>
      </c>
      <c r="N121" s="23" t="n">
        <f aca="false">K121*J121*L121</f>
        <v>99</v>
      </c>
    </row>
    <row r="122" customFormat="false" ht="15" hidden="false" customHeight="true" outlineLevel="0" collapsed="false">
      <c r="A122" s="20" t="s">
        <v>565</v>
      </c>
      <c r="B122" s="20"/>
      <c r="C122" s="21" t="s">
        <v>671</v>
      </c>
      <c r="D122" s="20" t="s">
        <v>39</v>
      </c>
      <c r="E122" s="21" t="s">
        <v>81</v>
      </c>
      <c r="F122" s="21" t="s">
        <v>52</v>
      </c>
      <c r="G122" s="21" t="n">
        <v>4.5</v>
      </c>
      <c r="H122" s="24" t="n">
        <v>46296</v>
      </c>
      <c r="I122" s="24" t="n">
        <v>46326</v>
      </c>
      <c r="J122" s="20" t="n">
        <f aca="false">IF(H122="",0,NETWORKDAYS(H122,I122))</f>
        <v>22</v>
      </c>
      <c r="K122" s="23" t="n">
        <f aca="false">IF(OR(H122="",J122=0),0,IF(F122="hrs/day",G122,IF(F122="%/day",G122/100*$B$1,G122/J122)))</f>
        <v>4.5</v>
      </c>
      <c r="L122" s="20" t="n">
        <f aca="false">IF(A122="Previous import",$B$2,1)</f>
        <v>1</v>
      </c>
      <c r="M122" s="20" t="n">
        <f aca="false">IF(OR(E122="Closed",E122="Cancelled"),1,0)</f>
        <v>0</v>
      </c>
      <c r="N122" s="23" t="n">
        <f aca="false">K122*J122*L122</f>
        <v>99</v>
      </c>
    </row>
    <row r="123" customFormat="false" ht="15" hidden="false" customHeight="true" outlineLevel="0" collapsed="false">
      <c r="A123" s="20" t="s">
        <v>565</v>
      </c>
      <c r="B123" s="20"/>
      <c r="C123" s="21" t="s">
        <v>672</v>
      </c>
      <c r="D123" s="20" t="s">
        <v>94</v>
      </c>
      <c r="E123" s="21" t="s">
        <v>110</v>
      </c>
      <c r="F123" s="21" t="s">
        <v>52</v>
      </c>
      <c r="G123" s="21" t="n">
        <v>4.5</v>
      </c>
      <c r="H123" s="24" t="n">
        <v>46296</v>
      </c>
      <c r="I123" s="24" t="n">
        <v>46326</v>
      </c>
      <c r="J123" s="20" t="n">
        <f aca="false">IF(H123="",0,NETWORKDAYS(H123,I123))</f>
        <v>22</v>
      </c>
      <c r="K123" s="23" t="n">
        <f aca="false">IF(OR(H123="",J123=0),0,IF(F123="hrs/day",G123,IF(F123="%/day",G123/100*$B$1,G123/J123)))</f>
        <v>4.5</v>
      </c>
      <c r="L123" s="20" t="n">
        <f aca="false">IF(A123="Previous import",$B$2,1)</f>
        <v>1</v>
      </c>
      <c r="M123" s="20" t="n">
        <f aca="false">IF(OR(E123="Closed",E123="Cancelled"),1,0)</f>
        <v>0</v>
      </c>
      <c r="N123" s="23" t="n">
        <f aca="false">K123*J123*L123</f>
        <v>99</v>
      </c>
    </row>
    <row r="124" customFormat="false" ht="15" hidden="false" customHeight="true" outlineLevel="0" collapsed="false">
      <c r="A124" s="20" t="s">
        <v>565</v>
      </c>
      <c r="B124" s="20"/>
      <c r="C124" s="21" t="s">
        <v>673</v>
      </c>
      <c r="D124" s="20" t="s">
        <v>94</v>
      </c>
      <c r="E124" s="21" t="s">
        <v>132</v>
      </c>
      <c r="F124" s="21" t="s">
        <v>52</v>
      </c>
      <c r="G124" s="21" t="n">
        <v>4.5</v>
      </c>
      <c r="H124" s="24" t="n">
        <v>46296</v>
      </c>
      <c r="I124" s="24" t="n">
        <v>46326</v>
      </c>
      <c r="J124" s="20" t="n">
        <f aca="false">IF(H124="",0,NETWORKDAYS(H124,I124))</f>
        <v>22</v>
      </c>
      <c r="K124" s="23" t="n">
        <f aca="false">IF(OR(H124="",J124=0),0,IF(F124="hrs/day",G124,IF(F124="%/day",G124/100*$B$1,G124/J124)))</f>
        <v>4.5</v>
      </c>
      <c r="L124" s="20" t="n">
        <f aca="false">IF(A124="Previous import",$B$2,1)</f>
        <v>1</v>
      </c>
      <c r="M124" s="20" t="n">
        <f aca="false">IF(OR(E124="Closed",E124="Cancelled"),1,0)</f>
        <v>0</v>
      </c>
      <c r="N124" s="23" t="n">
        <f aca="false">K124*J124*L124</f>
        <v>99</v>
      </c>
    </row>
    <row r="125" customFormat="false" ht="15" hidden="false" customHeight="true" outlineLevel="0" collapsed="false">
      <c r="A125" s="20" t="s">
        <v>565</v>
      </c>
      <c r="B125" s="20"/>
      <c r="C125" s="21" t="s">
        <v>674</v>
      </c>
      <c r="D125" s="20" t="s">
        <v>117</v>
      </c>
      <c r="E125" s="21" t="s">
        <v>141</v>
      </c>
      <c r="F125" s="21" t="s">
        <v>52</v>
      </c>
      <c r="G125" s="21" t="n">
        <v>4.5</v>
      </c>
      <c r="H125" s="24" t="n">
        <v>46296</v>
      </c>
      <c r="I125" s="24" t="n">
        <v>46326</v>
      </c>
      <c r="J125" s="20" t="n">
        <f aca="false">IF(H125="",0,NETWORKDAYS(H125,I125))</f>
        <v>22</v>
      </c>
      <c r="K125" s="23" t="n">
        <f aca="false">IF(OR(H125="",J125=0),0,IF(F125="hrs/day",G125,IF(F125="%/day",G125/100*$B$1,G125/J125)))</f>
        <v>4.5</v>
      </c>
      <c r="L125" s="20" t="n">
        <f aca="false">IF(A125="Previous import",$B$2,1)</f>
        <v>1</v>
      </c>
      <c r="M125" s="20" t="n">
        <f aca="false">IF(OR(E125="Closed",E125="Cancelled"),1,0)</f>
        <v>0</v>
      </c>
      <c r="N125" s="23" t="n">
        <f aca="false">K125*J125*L125</f>
        <v>99</v>
      </c>
    </row>
    <row r="126" customFormat="false" ht="15" hidden="false" customHeight="true" outlineLevel="0" collapsed="false">
      <c r="A126" s="20" t="s">
        <v>565</v>
      </c>
      <c r="B126" s="20"/>
      <c r="C126" s="21" t="s">
        <v>675</v>
      </c>
      <c r="D126" s="20" t="s">
        <v>39</v>
      </c>
      <c r="E126" s="21" t="s">
        <v>150</v>
      </c>
      <c r="F126" s="21" t="s">
        <v>52</v>
      </c>
      <c r="G126" s="21" t="n">
        <v>4.5</v>
      </c>
      <c r="H126" s="24" t="n">
        <v>46296</v>
      </c>
      <c r="I126" s="24" t="n">
        <v>46326</v>
      </c>
      <c r="J126" s="20" t="n">
        <f aca="false">IF(H126="",0,NETWORKDAYS(H126,I126))</f>
        <v>22</v>
      </c>
      <c r="K126" s="23" t="n">
        <f aca="false">IF(OR(H126="",J126=0),0,IF(F126="hrs/day",G126,IF(F126="%/day",G126/100*$B$1,G126/J126)))</f>
        <v>4.5</v>
      </c>
      <c r="L126" s="20" t="n">
        <f aca="false">IF(A126="Previous import",$B$2,1)</f>
        <v>1</v>
      </c>
      <c r="M126" s="20" t="n">
        <f aca="false">IF(OR(E126="Closed",E126="Cancelled"),1,0)</f>
        <v>1</v>
      </c>
      <c r="N126" s="23" t="n">
        <f aca="false">K126*J126*L126</f>
        <v>99</v>
      </c>
    </row>
    <row r="127" customFormat="false" ht="15" hidden="false" customHeight="true" outlineLevel="0" collapsed="false">
      <c r="A127" s="20" t="s">
        <v>565</v>
      </c>
      <c r="B127" s="20"/>
      <c r="C127" s="21" t="s">
        <v>676</v>
      </c>
      <c r="D127" s="20" t="s">
        <v>39</v>
      </c>
      <c r="E127" s="21" t="s">
        <v>160</v>
      </c>
      <c r="F127" s="21" t="s">
        <v>52</v>
      </c>
      <c r="G127" s="21" t="n">
        <v>4.5</v>
      </c>
      <c r="H127" s="24" t="n">
        <v>46296</v>
      </c>
      <c r="I127" s="24" t="n">
        <v>46326</v>
      </c>
      <c r="J127" s="20" t="n">
        <f aca="false">IF(H127="",0,NETWORKDAYS(H127,I127))</f>
        <v>22</v>
      </c>
      <c r="K127" s="23" t="n">
        <f aca="false">IF(OR(H127="",J127=0),0,IF(F127="hrs/day",G127,IF(F127="%/day",G127/100*$B$1,G127/J127)))</f>
        <v>4.5</v>
      </c>
      <c r="L127" s="20" t="n">
        <f aca="false">IF(A127="Previous import",$B$2,1)</f>
        <v>1</v>
      </c>
      <c r="M127" s="20" t="n">
        <f aca="false">IF(OR(E127="Closed",E127="Cancelled"),1,0)</f>
        <v>1</v>
      </c>
      <c r="N127" s="23" t="n">
        <f aca="false">K127*J127*L127</f>
        <v>99</v>
      </c>
    </row>
    <row r="128" customFormat="false" ht="15" hidden="false" customHeight="true" outlineLevel="0" collapsed="false">
      <c r="A128" s="20" t="s">
        <v>565</v>
      </c>
      <c r="B128" s="20"/>
      <c r="C128" s="21" t="s">
        <v>677</v>
      </c>
      <c r="D128" s="20" t="s">
        <v>502</v>
      </c>
      <c r="E128" s="21" t="s">
        <v>40</v>
      </c>
      <c r="F128" s="21" t="s">
        <v>137</v>
      </c>
      <c r="G128" s="21" t="n">
        <v>0</v>
      </c>
      <c r="H128" s="24" t="n">
        <v>46296</v>
      </c>
      <c r="I128" s="24" t="n">
        <v>46326</v>
      </c>
      <c r="J128" s="20" t="n">
        <f aca="false">IF(H128="",0,NETWORKDAYS(H128,I128))</f>
        <v>22</v>
      </c>
      <c r="K128" s="23" t="n">
        <f aca="false">IF(OR(H128="",J128=0),0,IF(F128="hrs/day",G128,IF(F128="%/day",G128/100*$B$1,G128/J128)))</f>
        <v>0</v>
      </c>
      <c r="L128" s="20" t="n">
        <f aca="false">IF(A128="Previous import",$B$2,1)</f>
        <v>1</v>
      </c>
      <c r="M128" s="20" t="n">
        <f aca="false">IF(OR(E128="Closed",E128="Cancelled"),1,0)</f>
        <v>0</v>
      </c>
      <c r="N128" s="23" t="n">
        <f aca="false">K128*J128*L128</f>
        <v>0</v>
      </c>
    </row>
    <row r="129" customFormat="false" ht="15" hidden="false" customHeight="true" outlineLevel="0" collapsed="false">
      <c r="A129" s="20" t="s">
        <v>565</v>
      </c>
      <c r="B129" s="20"/>
      <c r="C129" s="21" t="s">
        <v>678</v>
      </c>
      <c r="D129" s="20" t="s">
        <v>262</v>
      </c>
      <c r="E129" s="21" t="s">
        <v>40</v>
      </c>
      <c r="F129" s="21" t="s">
        <v>52</v>
      </c>
      <c r="G129" s="21" t="n">
        <v>4.5</v>
      </c>
      <c r="H129" s="24" t="n">
        <v>46328</v>
      </c>
      <c r="I129" s="24" t="n">
        <v>46332</v>
      </c>
      <c r="J129" s="20" t="n">
        <f aca="false">IF(H129="",0,NETWORKDAYS(H129,I129))</f>
        <v>5</v>
      </c>
      <c r="K129" s="23" t="n">
        <f aca="false">IF(OR(H129="",J129=0),0,IF(F129="hrs/day",G129,IF(F129="%/day",G129/100*$B$1,G129/J129)))</f>
        <v>4.5</v>
      </c>
      <c r="L129" s="20" t="n">
        <f aca="false">IF(A129="Previous import",$B$2,1)</f>
        <v>1</v>
      </c>
      <c r="M129" s="20" t="n">
        <f aca="false">IF(OR(E129="Closed",E129="Cancelled"),1,0)</f>
        <v>0</v>
      </c>
      <c r="N129" s="23" t="n">
        <f aca="false">K129*J129*L129</f>
        <v>22.5</v>
      </c>
    </row>
    <row r="130" customFormat="false" ht="15" hidden="false" customHeight="true" outlineLevel="0" collapsed="false">
      <c r="A130" s="20" t="s">
        <v>565</v>
      </c>
      <c r="B130" s="20"/>
      <c r="C130" s="21" t="s">
        <v>679</v>
      </c>
      <c r="D130" s="20" t="s">
        <v>39</v>
      </c>
      <c r="E130" s="21" t="s">
        <v>57</v>
      </c>
      <c r="F130" s="21" t="s">
        <v>52</v>
      </c>
      <c r="G130" s="21" t="n">
        <v>4.5</v>
      </c>
      <c r="H130" s="24" t="n">
        <v>46328</v>
      </c>
      <c r="I130" s="24" t="n">
        <v>46332</v>
      </c>
      <c r="J130" s="20" t="n">
        <f aca="false">IF(H130="",0,NETWORKDAYS(H130,I130))</f>
        <v>5</v>
      </c>
      <c r="K130" s="23" t="n">
        <f aca="false">IF(OR(H130="",J130=0),0,IF(F130="hrs/day",G130,IF(F130="%/day",G130/100*$B$1,G130/J130)))</f>
        <v>4.5</v>
      </c>
      <c r="L130" s="20" t="n">
        <f aca="false">IF(A130="Previous import",$B$2,1)</f>
        <v>1</v>
      </c>
      <c r="M130" s="20" t="n">
        <f aca="false">IF(OR(E130="Closed",E130="Cancelled"),1,0)</f>
        <v>0</v>
      </c>
      <c r="N130" s="23" t="n">
        <f aca="false">K130*J130*L130</f>
        <v>22.5</v>
      </c>
    </row>
    <row r="131" customFormat="false" ht="15" hidden="false" customHeight="true" outlineLevel="0" collapsed="false">
      <c r="A131" s="20" t="s">
        <v>565</v>
      </c>
      <c r="B131" s="20"/>
      <c r="C131" s="21" t="s">
        <v>679</v>
      </c>
      <c r="D131" s="20" t="s">
        <v>262</v>
      </c>
      <c r="E131" s="21" t="s">
        <v>57</v>
      </c>
      <c r="F131" s="21" t="s">
        <v>52</v>
      </c>
      <c r="G131" s="21" t="n">
        <v>4.5</v>
      </c>
      <c r="H131" s="24" t="n">
        <v>46328</v>
      </c>
      <c r="I131" s="24" t="n">
        <v>46332</v>
      </c>
      <c r="J131" s="20" t="n">
        <f aca="false">IF(H131="",0,NETWORKDAYS(H131,I131))</f>
        <v>5</v>
      </c>
      <c r="K131" s="23" t="n">
        <f aca="false">IF(OR(H131="",J131=0),0,IF(F131="hrs/day",G131,IF(F131="%/day",G131/100*$B$1,G131/J131)))</f>
        <v>4.5</v>
      </c>
      <c r="L131" s="20" t="n">
        <f aca="false">IF(A131="Previous import",$B$2,1)</f>
        <v>1</v>
      </c>
      <c r="M131" s="20" t="n">
        <f aca="false">IF(OR(E131="Closed",E131="Cancelled"),1,0)</f>
        <v>0</v>
      </c>
      <c r="N131" s="23" t="n">
        <f aca="false">K131*J131*L131</f>
        <v>22.5</v>
      </c>
    </row>
    <row r="132" customFormat="false" ht="15" hidden="false" customHeight="true" outlineLevel="0" collapsed="false">
      <c r="A132" s="20" t="s">
        <v>565</v>
      </c>
      <c r="B132" s="20"/>
      <c r="C132" s="21" t="s">
        <v>680</v>
      </c>
      <c r="D132" s="20" t="s">
        <v>117</v>
      </c>
      <c r="E132" s="21" t="s">
        <v>57</v>
      </c>
      <c r="F132" s="21" t="s">
        <v>52</v>
      </c>
      <c r="G132" s="21" t="n">
        <v>4.5</v>
      </c>
      <c r="H132" s="24" t="n">
        <v>46363</v>
      </c>
      <c r="I132" s="24" t="n">
        <v>46367</v>
      </c>
      <c r="J132" s="20" t="n">
        <f aca="false">IF(H132="",0,NETWORKDAYS(H132,I132))</f>
        <v>5</v>
      </c>
      <c r="K132" s="23" t="n">
        <f aca="false">IF(OR(H132="",J132=0),0,IF(F132="hrs/day",G132,IF(F132="%/day",G132/100*$B$1,G132/J132)))</f>
        <v>4.5</v>
      </c>
      <c r="L132" s="20" t="n">
        <f aca="false">IF(A132="Previous import",$B$2,1)</f>
        <v>1</v>
      </c>
      <c r="M132" s="20" t="n">
        <f aca="false">IF(OR(E132="Closed",E132="Cancelled"),1,0)</f>
        <v>0</v>
      </c>
      <c r="N132" s="23" t="n">
        <f aca="false">K132*J132*L132</f>
        <v>22.5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2"/>
    <col collapsed="false" customWidth="true" hidden="false" outlineLevel="0" max="94" min="3" style="1" width="7"/>
  </cols>
  <sheetData>
    <row r="1" customFormat="false" ht="15" hidden="false" customHeight="true" outlineLevel="0" collapsed="false">
      <c r="A1" s="2" t="s">
        <v>681</v>
      </c>
    </row>
    <row r="2" customFormat="false" ht="15" hidden="false" customHeight="true" outlineLevel="0" collapsed="false">
      <c r="A2" s="2"/>
      <c r="B2" s="2"/>
      <c r="C2" s="2" t="s">
        <v>682</v>
      </c>
      <c r="D2" s="2" t="s">
        <v>683</v>
      </c>
      <c r="E2" s="2" t="s">
        <v>684</v>
      </c>
      <c r="F2" s="2" t="s">
        <v>685</v>
      </c>
      <c r="G2" s="2" t="s">
        <v>686</v>
      </c>
      <c r="H2" s="2" t="s">
        <v>687</v>
      </c>
      <c r="I2" s="2" t="s">
        <v>688</v>
      </c>
      <c r="J2" s="2" t="s">
        <v>682</v>
      </c>
      <c r="K2" s="2" t="s">
        <v>683</v>
      </c>
      <c r="L2" s="2" t="s">
        <v>684</v>
      </c>
      <c r="M2" s="2" t="s">
        <v>685</v>
      </c>
      <c r="N2" s="2" t="s">
        <v>686</v>
      </c>
      <c r="O2" s="2" t="s">
        <v>687</v>
      </c>
      <c r="P2" s="2" t="s">
        <v>688</v>
      </c>
      <c r="Q2" s="2" t="s">
        <v>682</v>
      </c>
      <c r="R2" s="2" t="s">
        <v>683</v>
      </c>
      <c r="S2" s="2" t="s">
        <v>684</v>
      </c>
      <c r="T2" s="2" t="s">
        <v>685</v>
      </c>
      <c r="U2" s="2" t="s">
        <v>686</v>
      </c>
      <c r="V2" s="2" t="s">
        <v>687</v>
      </c>
      <c r="W2" s="2" t="s">
        <v>688</v>
      </c>
      <c r="X2" s="2" t="s">
        <v>682</v>
      </c>
      <c r="Y2" s="2" t="s">
        <v>683</v>
      </c>
      <c r="Z2" s="2" t="s">
        <v>684</v>
      </c>
      <c r="AA2" s="2" t="s">
        <v>685</v>
      </c>
      <c r="AB2" s="2" t="s">
        <v>686</v>
      </c>
      <c r="AC2" s="2" t="s">
        <v>687</v>
      </c>
      <c r="AD2" s="2" t="s">
        <v>688</v>
      </c>
      <c r="AE2" s="2" t="s">
        <v>682</v>
      </c>
      <c r="AF2" s="2" t="s">
        <v>683</v>
      </c>
      <c r="AG2" s="2" t="s">
        <v>684</v>
      </c>
      <c r="AH2" s="2" t="s">
        <v>685</v>
      </c>
      <c r="AI2" s="2" t="s">
        <v>686</v>
      </c>
      <c r="AJ2" s="2" t="s">
        <v>687</v>
      </c>
      <c r="AK2" s="2" t="s">
        <v>688</v>
      </c>
      <c r="AL2" s="2" t="s">
        <v>682</v>
      </c>
      <c r="AM2" s="2" t="s">
        <v>683</v>
      </c>
      <c r="AN2" s="2" t="s">
        <v>684</v>
      </c>
      <c r="AO2" s="2" t="s">
        <v>685</v>
      </c>
      <c r="AP2" s="2" t="s">
        <v>686</v>
      </c>
      <c r="AQ2" s="2" t="s">
        <v>687</v>
      </c>
      <c r="AR2" s="2" t="s">
        <v>688</v>
      </c>
      <c r="AS2" s="2" t="s">
        <v>682</v>
      </c>
      <c r="AT2" s="2" t="s">
        <v>683</v>
      </c>
      <c r="AU2" s="2" t="s">
        <v>684</v>
      </c>
      <c r="AV2" s="2" t="s">
        <v>685</v>
      </c>
      <c r="AW2" s="2" t="s">
        <v>686</v>
      </c>
      <c r="AX2" s="2" t="s">
        <v>687</v>
      </c>
      <c r="AY2" s="2" t="s">
        <v>688</v>
      </c>
      <c r="AZ2" s="2" t="s">
        <v>682</v>
      </c>
      <c r="BA2" s="2" t="s">
        <v>683</v>
      </c>
      <c r="BB2" s="2" t="s">
        <v>684</v>
      </c>
      <c r="BC2" s="2" t="s">
        <v>685</v>
      </c>
      <c r="BD2" s="2" t="s">
        <v>686</v>
      </c>
      <c r="BE2" s="2" t="s">
        <v>687</v>
      </c>
      <c r="BF2" s="2" t="s">
        <v>688</v>
      </c>
      <c r="BG2" s="2" t="s">
        <v>682</v>
      </c>
      <c r="BH2" s="2" t="s">
        <v>683</v>
      </c>
      <c r="BI2" s="2" t="s">
        <v>684</v>
      </c>
      <c r="BJ2" s="2" t="s">
        <v>685</v>
      </c>
      <c r="BK2" s="2" t="s">
        <v>686</v>
      </c>
      <c r="BL2" s="2" t="s">
        <v>687</v>
      </c>
      <c r="BM2" s="2" t="s">
        <v>688</v>
      </c>
      <c r="BN2" s="2" t="s">
        <v>682</v>
      </c>
      <c r="BO2" s="2" t="s">
        <v>683</v>
      </c>
      <c r="BP2" s="2" t="s">
        <v>684</v>
      </c>
      <c r="BQ2" s="2" t="s">
        <v>685</v>
      </c>
      <c r="BR2" s="2" t="s">
        <v>686</v>
      </c>
      <c r="BS2" s="2" t="s">
        <v>687</v>
      </c>
      <c r="BT2" s="2" t="s">
        <v>688</v>
      </c>
      <c r="BU2" s="2" t="s">
        <v>682</v>
      </c>
      <c r="BV2" s="2" t="s">
        <v>683</v>
      </c>
      <c r="BW2" s="2" t="s">
        <v>684</v>
      </c>
      <c r="BX2" s="2" t="s">
        <v>685</v>
      </c>
      <c r="BY2" s="2" t="s">
        <v>686</v>
      </c>
      <c r="BZ2" s="2" t="s">
        <v>687</v>
      </c>
      <c r="CA2" s="2" t="s">
        <v>688</v>
      </c>
      <c r="CB2" s="2" t="s">
        <v>682</v>
      </c>
      <c r="CC2" s="2" t="s">
        <v>683</v>
      </c>
      <c r="CD2" s="2" t="s">
        <v>684</v>
      </c>
      <c r="CE2" s="2" t="s">
        <v>685</v>
      </c>
      <c r="CF2" s="2" t="s">
        <v>686</v>
      </c>
      <c r="CG2" s="2" t="s">
        <v>687</v>
      </c>
      <c r="CH2" s="2" t="s">
        <v>688</v>
      </c>
      <c r="CI2" s="2" t="s">
        <v>682</v>
      </c>
      <c r="CJ2" s="2" t="s">
        <v>683</v>
      </c>
      <c r="CK2" s="2" t="s">
        <v>684</v>
      </c>
      <c r="CL2" s="2" t="s">
        <v>685</v>
      </c>
      <c r="CM2" s="2" t="s">
        <v>686</v>
      </c>
      <c r="CN2" s="2" t="s">
        <v>687</v>
      </c>
      <c r="CO2" s="2" t="s">
        <v>688</v>
      </c>
      <c r="CP2" s="2" t="s">
        <v>682</v>
      </c>
    </row>
    <row r="3" customFormat="false" ht="15" hidden="false" customHeight="true" outlineLevel="0" collapsed="false">
      <c r="A3" s="2" t="s">
        <v>689</v>
      </c>
      <c r="B3" s="2" t="s">
        <v>690</v>
      </c>
      <c r="C3" s="25" t="n">
        <v>46296</v>
      </c>
      <c r="D3" s="25" t="n">
        <v>46297</v>
      </c>
      <c r="E3" s="25" t="n">
        <v>46298</v>
      </c>
      <c r="F3" s="25" t="n">
        <v>46299</v>
      </c>
      <c r="G3" s="25" t="n">
        <v>46300</v>
      </c>
      <c r="H3" s="25" t="n">
        <v>46301</v>
      </c>
      <c r="I3" s="25" t="n">
        <v>46302</v>
      </c>
      <c r="J3" s="25" t="n">
        <v>46303</v>
      </c>
      <c r="K3" s="25" t="n">
        <v>46304</v>
      </c>
      <c r="L3" s="25" t="n">
        <v>46305</v>
      </c>
      <c r="M3" s="25" t="n">
        <v>46306</v>
      </c>
      <c r="N3" s="25" t="n">
        <v>46307</v>
      </c>
      <c r="O3" s="25" t="n">
        <v>46308</v>
      </c>
      <c r="P3" s="25" t="n">
        <v>46309</v>
      </c>
      <c r="Q3" s="25" t="n">
        <v>46310</v>
      </c>
      <c r="R3" s="25" t="n">
        <v>46311</v>
      </c>
      <c r="S3" s="25" t="n">
        <v>46312</v>
      </c>
      <c r="T3" s="25" t="n">
        <v>46313</v>
      </c>
      <c r="U3" s="25" t="n">
        <v>46314</v>
      </c>
      <c r="V3" s="25" t="n">
        <v>46315</v>
      </c>
      <c r="W3" s="25" t="n">
        <v>46316</v>
      </c>
      <c r="X3" s="25" t="n">
        <v>46317</v>
      </c>
      <c r="Y3" s="25" t="n">
        <v>46318</v>
      </c>
      <c r="Z3" s="25" t="n">
        <v>46319</v>
      </c>
      <c r="AA3" s="25" t="n">
        <v>46320</v>
      </c>
      <c r="AB3" s="25" t="n">
        <v>46321</v>
      </c>
      <c r="AC3" s="25" t="n">
        <v>46322</v>
      </c>
      <c r="AD3" s="25" t="n">
        <v>46323</v>
      </c>
      <c r="AE3" s="25" t="n">
        <v>46324</v>
      </c>
      <c r="AF3" s="25" t="n">
        <v>46325</v>
      </c>
      <c r="AG3" s="25" t="n">
        <v>46326</v>
      </c>
      <c r="AH3" s="25" t="n">
        <v>46327</v>
      </c>
      <c r="AI3" s="25" t="n">
        <v>46328</v>
      </c>
      <c r="AJ3" s="25" t="n">
        <v>46329</v>
      </c>
      <c r="AK3" s="25" t="n">
        <v>46330</v>
      </c>
      <c r="AL3" s="25" t="n">
        <v>46331</v>
      </c>
      <c r="AM3" s="25" t="n">
        <v>46332</v>
      </c>
      <c r="AN3" s="25" t="n">
        <v>46333</v>
      </c>
      <c r="AO3" s="25" t="n">
        <v>46334</v>
      </c>
      <c r="AP3" s="25" t="n">
        <v>46335</v>
      </c>
      <c r="AQ3" s="25" t="n">
        <v>46336</v>
      </c>
      <c r="AR3" s="25" t="n">
        <v>46337</v>
      </c>
      <c r="AS3" s="25" t="n">
        <v>46338</v>
      </c>
      <c r="AT3" s="25" t="n">
        <v>46339</v>
      </c>
      <c r="AU3" s="25" t="n">
        <v>46340</v>
      </c>
      <c r="AV3" s="25" t="n">
        <v>46341</v>
      </c>
      <c r="AW3" s="25" t="n">
        <v>46342</v>
      </c>
      <c r="AX3" s="25" t="n">
        <v>46343</v>
      </c>
      <c r="AY3" s="25" t="n">
        <v>46344</v>
      </c>
      <c r="AZ3" s="25" t="n">
        <v>46345</v>
      </c>
      <c r="BA3" s="25" t="n">
        <v>46346</v>
      </c>
      <c r="BB3" s="25" t="n">
        <v>46347</v>
      </c>
      <c r="BC3" s="25" t="n">
        <v>46348</v>
      </c>
      <c r="BD3" s="25" t="n">
        <v>46349</v>
      </c>
      <c r="BE3" s="25" t="n">
        <v>46350</v>
      </c>
      <c r="BF3" s="25" t="n">
        <v>46351</v>
      </c>
      <c r="BG3" s="25" t="n">
        <v>46352</v>
      </c>
      <c r="BH3" s="25" t="n">
        <v>46353</v>
      </c>
      <c r="BI3" s="25" t="n">
        <v>46354</v>
      </c>
      <c r="BJ3" s="25" t="n">
        <v>46355</v>
      </c>
      <c r="BK3" s="25" t="n">
        <v>46356</v>
      </c>
      <c r="BL3" s="25" t="n">
        <v>46357</v>
      </c>
      <c r="BM3" s="25" t="n">
        <v>46358</v>
      </c>
      <c r="BN3" s="25" t="n">
        <v>46359</v>
      </c>
      <c r="BO3" s="25" t="n">
        <v>46360</v>
      </c>
      <c r="BP3" s="25" t="n">
        <v>46361</v>
      </c>
      <c r="BQ3" s="25" t="n">
        <v>46362</v>
      </c>
      <c r="BR3" s="25" t="n">
        <v>46363</v>
      </c>
      <c r="BS3" s="25" t="n">
        <v>46364</v>
      </c>
      <c r="BT3" s="25" t="n">
        <v>46365</v>
      </c>
      <c r="BU3" s="25" t="n">
        <v>46366</v>
      </c>
      <c r="BV3" s="25" t="n">
        <v>46367</v>
      </c>
      <c r="BW3" s="25" t="n">
        <v>46368</v>
      </c>
      <c r="BX3" s="25" t="n">
        <v>46369</v>
      </c>
      <c r="BY3" s="25" t="n">
        <v>46370</v>
      </c>
      <c r="BZ3" s="25" t="n">
        <v>46371</v>
      </c>
      <c r="CA3" s="25" t="n">
        <v>46372</v>
      </c>
      <c r="CB3" s="25" t="n">
        <v>46373</v>
      </c>
      <c r="CC3" s="25" t="n">
        <v>46374</v>
      </c>
      <c r="CD3" s="25" t="n">
        <v>46375</v>
      </c>
      <c r="CE3" s="25" t="n">
        <v>46376</v>
      </c>
      <c r="CF3" s="25" t="n">
        <v>46377</v>
      </c>
      <c r="CG3" s="25" t="n">
        <v>46378</v>
      </c>
      <c r="CH3" s="25" t="n">
        <v>46379</v>
      </c>
      <c r="CI3" s="25" t="n">
        <v>46380</v>
      </c>
      <c r="CJ3" s="25" t="n">
        <v>46381</v>
      </c>
      <c r="CK3" s="25" t="n">
        <v>46382</v>
      </c>
      <c r="CL3" s="25" t="n">
        <v>46383</v>
      </c>
      <c r="CM3" s="25" t="n">
        <v>46384</v>
      </c>
      <c r="CN3" s="25" t="n">
        <v>46385</v>
      </c>
      <c r="CO3" s="25" t="n">
        <v>46386</v>
      </c>
      <c r="CP3" s="25" t="n">
        <v>46387</v>
      </c>
    </row>
    <row r="4" customFormat="false" ht="15" hidden="false" customHeight="true" outlineLevel="0" collapsed="false">
      <c r="A4" s="2" t="s">
        <v>39</v>
      </c>
      <c r="B4" s="23" t="n">
        <f aca="false">SUM(C4:CP4)</f>
        <v>919.5</v>
      </c>
      <c r="C4" s="26" t="n">
        <f aca="false">IF(WEEKDAY(C$3,2)&gt;5,0,SUMPRODUCT(('Assignment Calc'!$D$5:$D$132=$A4)*('Assignment Calc'!$H$5:$H$132&lt;&gt;"")*('Assignment Calc'!$H$5:$H$132&lt;=C$3)*('Assignment Calc'!$I$5:$I$132&gt;=C$3)*'Assignment Calc'!$K$5:$K$132*'Assignment Calc'!$L$5:$L$132))</f>
        <v>31.5</v>
      </c>
      <c r="D4" s="26" t="n">
        <f aca="false">IF(WEEKDAY(D$3,2)&gt;5,0,SUMPRODUCT(('Assignment Calc'!$D$5:$D$132=$A4)*('Assignment Calc'!$H$5:$H$132&lt;&gt;"")*('Assignment Calc'!$H$5:$H$132&lt;=D$3)*('Assignment Calc'!$I$5:$I$132&gt;=D$3)*'Assignment Calc'!$K$5:$K$132*'Assignment Calc'!$L$5:$L$132))</f>
        <v>31.5</v>
      </c>
      <c r="E4" s="26" t="n">
        <f aca="false">IF(WEEKDAY(E$3,2)&gt;5,0,SUMPRODUCT(('Assignment Calc'!$D$5:$D$132=$A4)*('Assignment Calc'!$H$5:$H$132&lt;&gt;"")*('Assignment Calc'!$H$5:$H$132&lt;=E$3)*('Assignment Calc'!$I$5:$I$132&gt;=E$3)*'Assignment Calc'!$K$5:$K$132*'Assignment Calc'!$L$5:$L$132))</f>
        <v>0</v>
      </c>
      <c r="F4" s="26" t="n">
        <f aca="false">IF(WEEKDAY(F$3,2)&gt;5,0,SUMPRODUCT(('Assignment Calc'!$D$5:$D$132=$A4)*('Assignment Calc'!$H$5:$H$132&lt;&gt;"")*('Assignment Calc'!$H$5:$H$132&lt;=F$3)*('Assignment Calc'!$I$5:$I$132&gt;=F$3)*'Assignment Calc'!$K$5:$K$132*'Assignment Calc'!$L$5:$L$132))</f>
        <v>0</v>
      </c>
      <c r="G4" s="26" t="n">
        <f aca="false">IF(WEEKDAY(G$3,2)&gt;5,0,SUMPRODUCT(('Assignment Calc'!$D$5:$D$132=$A4)*('Assignment Calc'!$H$5:$H$132&lt;&gt;"")*('Assignment Calc'!$H$5:$H$132&lt;=G$3)*('Assignment Calc'!$I$5:$I$132&gt;=G$3)*'Assignment Calc'!$K$5:$K$132*'Assignment Calc'!$L$5:$L$132))</f>
        <v>33</v>
      </c>
      <c r="H4" s="26" t="n">
        <f aca="false">IF(WEEKDAY(H$3,2)&gt;5,0,SUMPRODUCT(('Assignment Calc'!$D$5:$D$132=$A4)*('Assignment Calc'!$H$5:$H$132&lt;&gt;"")*('Assignment Calc'!$H$5:$H$132&lt;=H$3)*('Assignment Calc'!$I$5:$I$132&gt;=H$3)*'Assignment Calc'!$K$5:$K$132*'Assignment Calc'!$L$5:$L$132))</f>
        <v>33</v>
      </c>
      <c r="I4" s="26" t="n">
        <f aca="false">IF(WEEKDAY(I$3,2)&gt;5,0,SUMPRODUCT(('Assignment Calc'!$D$5:$D$132=$A4)*('Assignment Calc'!$H$5:$H$132&lt;&gt;"")*('Assignment Calc'!$H$5:$H$132&lt;=I$3)*('Assignment Calc'!$I$5:$I$132&gt;=I$3)*'Assignment Calc'!$K$5:$K$132*'Assignment Calc'!$L$5:$L$132))</f>
        <v>33</v>
      </c>
      <c r="J4" s="26" t="n">
        <f aca="false">IF(WEEKDAY(J$3,2)&gt;5,0,SUMPRODUCT(('Assignment Calc'!$D$5:$D$132=$A4)*('Assignment Calc'!$H$5:$H$132&lt;&gt;"")*('Assignment Calc'!$H$5:$H$132&lt;=J$3)*('Assignment Calc'!$I$5:$I$132&gt;=J$3)*'Assignment Calc'!$K$5:$K$132*'Assignment Calc'!$L$5:$L$132))</f>
        <v>33</v>
      </c>
      <c r="K4" s="26" t="n">
        <f aca="false">IF(WEEKDAY(K$3,2)&gt;5,0,SUMPRODUCT(('Assignment Calc'!$D$5:$D$132=$A4)*('Assignment Calc'!$H$5:$H$132&lt;&gt;"")*('Assignment Calc'!$H$5:$H$132&lt;=K$3)*('Assignment Calc'!$I$5:$I$132&gt;=K$3)*'Assignment Calc'!$K$5:$K$132*'Assignment Calc'!$L$5:$L$132))</f>
        <v>33</v>
      </c>
      <c r="L4" s="26" t="n">
        <f aca="false">IF(WEEKDAY(L$3,2)&gt;5,0,SUMPRODUCT(('Assignment Calc'!$D$5:$D$132=$A4)*('Assignment Calc'!$H$5:$H$132&lt;&gt;"")*('Assignment Calc'!$H$5:$H$132&lt;=L$3)*('Assignment Calc'!$I$5:$I$132&gt;=L$3)*'Assignment Calc'!$K$5:$K$132*'Assignment Calc'!$L$5:$L$132))</f>
        <v>0</v>
      </c>
      <c r="M4" s="26" t="n">
        <f aca="false">IF(WEEKDAY(M$3,2)&gt;5,0,SUMPRODUCT(('Assignment Calc'!$D$5:$D$132=$A4)*('Assignment Calc'!$H$5:$H$132&lt;&gt;"")*('Assignment Calc'!$H$5:$H$132&lt;=M$3)*('Assignment Calc'!$I$5:$I$132&gt;=M$3)*'Assignment Calc'!$K$5:$K$132*'Assignment Calc'!$L$5:$L$132))</f>
        <v>0</v>
      </c>
      <c r="N4" s="26" t="n">
        <f aca="false">IF(WEEKDAY(N$3,2)&gt;5,0,SUMPRODUCT(('Assignment Calc'!$D$5:$D$132=$A4)*('Assignment Calc'!$H$5:$H$132&lt;&gt;"")*('Assignment Calc'!$H$5:$H$132&lt;=N$3)*('Assignment Calc'!$I$5:$I$132&gt;=N$3)*'Assignment Calc'!$K$5:$K$132*'Assignment Calc'!$L$5:$L$132))</f>
        <v>31.5</v>
      </c>
      <c r="O4" s="26" t="n">
        <f aca="false">IF(WEEKDAY(O$3,2)&gt;5,0,SUMPRODUCT(('Assignment Calc'!$D$5:$D$132=$A4)*('Assignment Calc'!$H$5:$H$132&lt;&gt;"")*('Assignment Calc'!$H$5:$H$132&lt;=O$3)*('Assignment Calc'!$I$5:$I$132&gt;=O$3)*'Assignment Calc'!$K$5:$K$132*'Assignment Calc'!$L$5:$L$132))</f>
        <v>31.5</v>
      </c>
      <c r="P4" s="26" t="n">
        <f aca="false">IF(WEEKDAY(P$3,2)&gt;5,0,SUMPRODUCT(('Assignment Calc'!$D$5:$D$132=$A4)*('Assignment Calc'!$H$5:$H$132&lt;&gt;"")*('Assignment Calc'!$H$5:$H$132&lt;=P$3)*('Assignment Calc'!$I$5:$I$132&gt;=P$3)*'Assignment Calc'!$K$5:$K$132*'Assignment Calc'!$L$5:$L$132))</f>
        <v>31.5</v>
      </c>
      <c r="Q4" s="26" t="n">
        <f aca="false">IF(WEEKDAY(Q$3,2)&gt;5,0,SUMPRODUCT(('Assignment Calc'!$D$5:$D$132=$A4)*('Assignment Calc'!$H$5:$H$132&lt;&gt;"")*('Assignment Calc'!$H$5:$H$132&lt;=Q$3)*('Assignment Calc'!$I$5:$I$132&gt;=Q$3)*'Assignment Calc'!$K$5:$K$132*'Assignment Calc'!$L$5:$L$132))</f>
        <v>31.5</v>
      </c>
      <c r="R4" s="26" t="n">
        <f aca="false">IF(WEEKDAY(R$3,2)&gt;5,0,SUMPRODUCT(('Assignment Calc'!$D$5:$D$132=$A4)*('Assignment Calc'!$H$5:$H$132&lt;&gt;"")*('Assignment Calc'!$H$5:$H$132&lt;=R$3)*('Assignment Calc'!$I$5:$I$132&gt;=R$3)*'Assignment Calc'!$K$5:$K$132*'Assignment Calc'!$L$5:$L$132))</f>
        <v>31.5</v>
      </c>
      <c r="S4" s="26" t="n">
        <f aca="false">IF(WEEKDAY(S$3,2)&gt;5,0,SUMPRODUCT(('Assignment Calc'!$D$5:$D$132=$A4)*('Assignment Calc'!$H$5:$H$132&lt;&gt;"")*('Assignment Calc'!$H$5:$H$132&lt;=S$3)*('Assignment Calc'!$I$5:$I$132&gt;=S$3)*'Assignment Calc'!$K$5:$K$132*'Assignment Calc'!$L$5:$L$132))</f>
        <v>0</v>
      </c>
      <c r="T4" s="26" t="n">
        <f aca="false">IF(WEEKDAY(T$3,2)&gt;5,0,SUMPRODUCT(('Assignment Calc'!$D$5:$D$132=$A4)*('Assignment Calc'!$H$5:$H$132&lt;&gt;"")*('Assignment Calc'!$H$5:$H$132&lt;=T$3)*('Assignment Calc'!$I$5:$I$132&gt;=T$3)*'Assignment Calc'!$K$5:$K$132*'Assignment Calc'!$L$5:$L$132))</f>
        <v>0</v>
      </c>
      <c r="U4" s="26" t="n">
        <f aca="false">IF(WEEKDAY(U$3,2)&gt;5,0,SUMPRODUCT(('Assignment Calc'!$D$5:$D$132=$A4)*('Assignment Calc'!$H$5:$H$132&lt;&gt;"")*('Assignment Calc'!$H$5:$H$132&lt;=U$3)*('Assignment Calc'!$I$5:$I$132&gt;=U$3)*'Assignment Calc'!$K$5:$K$132*'Assignment Calc'!$L$5:$L$132))</f>
        <v>27</v>
      </c>
      <c r="V4" s="26" t="n">
        <f aca="false">IF(WEEKDAY(V$3,2)&gt;5,0,SUMPRODUCT(('Assignment Calc'!$D$5:$D$132=$A4)*('Assignment Calc'!$H$5:$H$132&lt;&gt;"")*('Assignment Calc'!$H$5:$H$132&lt;=V$3)*('Assignment Calc'!$I$5:$I$132&gt;=V$3)*'Assignment Calc'!$K$5:$K$132*'Assignment Calc'!$L$5:$L$132))</f>
        <v>27</v>
      </c>
      <c r="W4" s="26" t="n">
        <f aca="false">IF(WEEKDAY(W$3,2)&gt;5,0,SUMPRODUCT(('Assignment Calc'!$D$5:$D$132=$A4)*('Assignment Calc'!$H$5:$H$132&lt;&gt;"")*('Assignment Calc'!$H$5:$H$132&lt;=W$3)*('Assignment Calc'!$I$5:$I$132&gt;=W$3)*'Assignment Calc'!$K$5:$K$132*'Assignment Calc'!$L$5:$L$132))</f>
        <v>27</v>
      </c>
      <c r="X4" s="26" t="n">
        <f aca="false">IF(WEEKDAY(X$3,2)&gt;5,0,SUMPRODUCT(('Assignment Calc'!$D$5:$D$132=$A4)*('Assignment Calc'!$H$5:$H$132&lt;&gt;"")*('Assignment Calc'!$H$5:$H$132&lt;=X$3)*('Assignment Calc'!$I$5:$I$132&gt;=X$3)*'Assignment Calc'!$K$5:$K$132*'Assignment Calc'!$L$5:$L$132))</f>
        <v>27</v>
      </c>
      <c r="Y4" s="26" t="n">
        <f aca="false">IF(WEEKDAY(Y$3,2)&gt;5,0,SUMPRODUCT(('Assignment Calc'!$D$5:$D$132=$A4)*('Assignment Calc'!$H$5:$H$132&lt;&gt;"")*('Assignment Calc'!$H$5:$H$132&lt;=Y$3)*('Assignment Calc'!$I$5:$I$132&gt;=Y$3)*'Assignment Calc'!$K$5:$K$132*'Assignment Calc'!$L$5:$L$132))</f>
        <v>27</v>
      </c>
      <c r="Z4" s="26" t="n">
        <f aca="false">IF(WEEKDAY(Z$3,2)&gt;5,0,SUMPRODUCT(('Assignment Calc'!$D$5:$D$132=$A4)*('Assignment Calc'!$H$5:$H$132&lt;&gt;"")*('Assignment Calc'!$H$5:$H$132&lt;=Z$3)*('Assignment Calc'!$I$5:$I$132&gt;=Z$3)*'Assignment Calc'!$K$5:$K$132*'Assignment Calc'!$L$5:$L$132))</f>
        <v>0</v>
      </c>
      <c r="AA4" s="26" t="n">
        <f aca="false">IF(WEEKDAY(AA$3,2)&gt;5,0,SUMPRODUCT(('Assignment Calc'!$D$5:$D$132=$A4)*('Assignment Calc'!$H$5:$H$132&lt;&gt;"")*('Assignment Calc'!$H$5:$H$132&lt;=AA$3)*('Assignment Calc'!$I$5:$I$132&gt;=AA$3)*'Assignment Calc'!$K$5:$K$132*'Assignment Calc'!$L$5:$L$132))</f>
        <v>0</v>
      </c>
      <c r="AB4" s="26" t="n">
        <f aca="false">IF(WEEKDAY(AB$3,2)&gt;5,0,SUMPRODUCT(('Assignment Calc'!$D$5:$D$132=$A4)*('Assignment Calc'!$H$5:$H$132&lt;&gt;"")*('Assignment Calc'!$H$5:$H$132&lt;=AB$3)*('Assignment Calc'!$I$5:$I$132&gt;=AB$3)*'Assignment Calc'!$K$5:$K$132*'Assignment Calc'!$L$5:$L$132))</f>
        <v>22.5</v>
      </c>
      <c r="AC4" s="26" t="n">
        <f aca="false">IF(WEEKDAY(AC$3,2)&gt;5,0,SUMPRODUCT(('Assignment Calc'!$D$5:$D$132=$A4)*('Assignment Calc'!$H$5:$H$132&lt;&gt;"")*('Assignment Calc'!$H$5:$H$132&lt;=AC$3)*('Assignment Calc'!$I$5:$I$132&gt;=AC$3)*'Assignment Calc'!$K$5:$K$132*'Assignment Calc'!$L$5:$L$132))</f>
        <v>22.5</v>
      </c>
      <c r="AD4" s="26" t="n">
        <f aca="false">IF(WEEKDAY(AD$3,2)&gt;5,0,SUMPRODUCT(('Assignment Calc'!$D$5:$D$132=$A4)*('Assignment Calc'!$H$5:$H$132&lt;&gt;"")*('Assignment Calc'!$H$5:$H$132&lt;=AD$3)*('Assignment Calc'!$I$5:$I$132&gt;=AD$3)*'Assignment Calc'!$K$5:$K$132*'Assignment Calc'!$L$5:$L$132))</f>
        <v>22.5</v>
      </c>
      <c r="AE4" s="26" t="n">
        <f aca="false">IF(WEEKDAY(AE$3,2)&gt;5,0,SUMPRODUCT(('Assignment Calc'!$D$5:$D$132=$A4)*('Assignment Calc'!$H$5:$H$132&lt;&gt;"")*('Assignment Calc'!$H$5:$H$132&lt;=AE$3)*('Assignment Calc'!$I$5:$I$132&gt;=AE$3)*'Assignment Calc'!$K$5:$K$132*'Assignment Calc'!$L$5:$L$132))</f>
        <v>22.5</v>
      </c>
      <c r="AF4" s="26" t="n">
        <f aca="false">IF(WEEKDAY(AF$3,2)&gt;5,0,SUMPRODUCT(('Assignment Calc'!$D$5:$D$132=$A4)*('Assignment Calc'!$H$5:$H$132&lt;&gt;"")*('Assignment Calc'!$H$5:$H$132&lt;=AF$3)*('Assignment Calc'!$I$5:$I$132&gt;=AF$3)*'Assignment Calc'!$K$5:$K$132*'Assignment Calc'!$L$5:$L$132))</f>
        <v>22.5</v>
      </c>
      <c r="AG4" s="26" t="n">
        <f aca="false">IF(WEEKDAY(AG$3,2)&gt;5,0,SUMPRODUCT(('Assignment Calc'!$D$5:$D$132=$A4)*('Assignment Calc'!$H$5:$H$132&lt;&gt;"")*('Assignment Calc'!$H$5:$H$132&lt;=AG$3)*('Assignment Calc'!$I$5:$I$132&gt;=AG$3)*'Assignment Calc'!$K$5:$K$132*'Assignment Calc'!$L$5:$L$132))</f>
        <v>0</v>
      </c>
      <c r="AH4" s="26" t="n">
        <f aca="false">IF(WEEKDAY(AH$3,2)&gt;5,0,SUMPRODUCT(('Assignment Calc'!$D$5:$D$132=$A4)*('Assignment Calc'!$H$5:$H$132&lt;&gt;"")*('Assignment Calc'!$H$5:$H$132&lt;=AH$3)*('Assignment Calc'!$I$5:$I$132&gt;=AH$3)*'Assignment Calc'!$K$5:$K$132*'Assignment Calc'!$L$5:$L$132))</f>
        <v>0</v>
      </c>
      <c r="AI4" s="26" t="n">
        <f aca="false">IF(WEEKDAY(AI$3,2)&gt;5,0,SUMPRODUCT(('Assignment Calc'!$D$5:$D$132=$A4)*('Assignment Calc'!$H$5:$H$132&lt;&gt;"")*('Assignment Calc'!$H$5:$H$132&lt;=AI$3)*('Assignment Calc'!$I$5:$I$132&gt;=AI$3)*'Assignment Calc'!$K$5:$K$132*'Assignment Calc'!$L$5:$L$132))</f>
        <v>13.5</v>
      </c>
      <c r="AJ4" s="26" t="n">
        <f aca="false">IF(WEEKDAY(AJ$3,2)&gt;5,0,SUMPRODUCT(('Assignment Calc'!$D$5:$D$132=$A4)*('Assignment Calc'!$H$5:$H$132&lt;&gt;"")*('Assignment Calc'!$H$5:$H$132&lt;=AJ$3)*('Assignment Calc'!$I$5:$I$132&gt;=AJ$3)*'Assignment Calc'!$K$5:$K$132*'Assignment Calc'!$L$5:$L$132))</f>
        <v>13.5</v>
      </c>
      <c r="AK4" s="26" t="n">
        <f aca="false">IF(WEEKDAY(AK$3,2)&gt;5,0,SUMPRODUCT(('Assignment Calc'!$D$5:$D$132=$A4)*('Assignment Calc'!$H$5:$H$132&lt;&gt;"")*('Assignment Calc'!$H$5:$H$132&lt;=AK$3)*('Assignment Calc'!$I$5:$I$132&gt;=AK$3)*'Assignment Calc'!$K$5:$K$132*'Assignment Calc'!$L$5:$L$132))</f>
        <v>13.5</v>
      </c>
      <c r="AL4" s="26" t="n">
        <f aca="false">IF(WEEKDAY(AL$3,2)&gt;5,0,SUMPRODUCT(('Assignment Calc'!$D$5:$D$132=$A4)*('Assignment Calc'!$H$5:$H$132&lt;&gt;"")*('Assignment Calc'!$H$5:$H$132&lt;=AL$3)*('Assignment Calc'!$I$5:$I$132&gt;=AL$3)*'Assignment Calc'!$K$5:$K$132*'Assignment Calc'!$L$5:$L$132))</f>
        <v>13.5</v>
      </c>
      <c r="AM4" s="26" t="n">
        <f aca="false">IF(WEEKDAY(AM$3,2)&gt;5,0,SUMPRODUCT(('Assignment Calc'!$D$5:$D$132=$A4)*('Assignment Calc'!$H$5:$H$132&lt;&gt;"")*('Assignment Calc'!$H$5:$H$132&lt;=AM$3)*('Assignment Calc'!$I$5:$I$132&gt;=AM$3)*'Assignment Calc'!$K$5:$K$132*'Assignment Calc'!$L$5:$L$132))</f>
        <v>13.5</v>
      </c>
      <c r="AN4" s="26" t="n">
        <f aca="false">IF(WEEKDAY(AN$3,2)&gt;5,0,SUMPRODUCT(('Assignment Calc'!$D$5:$D$132=$A4)*('Assignment Calc'!$H$5:$H$132&lt;&gt;"")*('Assignment Calc'!$H$5:$H$132&lt;=AN$3)*('Assignment Calc'!$I$5:$I$132&gt;=AN$3)*'Assignment Calc'!$K$5:$K$132*'Assignment Calc'!$L$5:$L$132))</f>
        <v>0</v>
      </c>
      <c r="AO4" s="26" t="n">
        <f aca="false">IF(WEEKDAY(AO$3,2)&gt;5,0,SUMPRODUCT(('Assignment Calc'!$D$5:$D$132=$A4)*('Assignment Calc'!$H$5:$H$132&lt;&gt;"")*('Assignment Calc'!$H$5:$H$132&lt;=AO$3)*('Assignment Calc'!$I$5:$I$132&gt;=AO$3)*'Assignment Calc'!$K$5:$K$132*'Assignment Calc'!$L$5:$L$132))</f>
        <v>0</v>
      </c>
      <c r="AP4" s="26" t="n">
        <f aca="false">IF(WEEKDAY(AP$3,2)&gt;5,0,SUMPRODUCT(('Assignment Calc'!$D$5:$D$132=$A4)*('Assignment Calc'!$H$5:$H$132&lt;&gt;"")*('Assignment Calc'!$H$5:$H$132&lt;=AP$3)*('Assignment Calc'!$I$5:$I$132&gt;=AP$3)*'Assignment Calc'!$K$5:$K$132*'Assignment Calc'!$L$5:$L$132))</f>
        <v>8.5</v>
      </c>
      <c r="AQ4" s="26" t="n">
        <f aca="false">IF(WEEKDAY(AQ$3,2)&gt;5,0,SUMPRODUCT(('Assignment Calc'!$D$5:$D$132=$A4)*('Assignment Calc'!$H$5:$H$132&lt;&gt;"")*('Assignment Calc'!$H$5:$H$132&lt;=AQ$3)*('Assignment Calc'!$I$5:$I$132&gt;=AQ$3)*'Assignment Calc'!$K$5:$K$132*'Assignment Calc'!$L$5:$L$132))</f>
        <v>8.5</v>
      </c>
      <c r="AR4" s="26" t="n">
        <f aca="false">IF(WEEKDAY(AR$3,2)&gt;5,0,SUMPRODUCT(('Assignment Calc'!$D$5:$D$132=$A4)*('Assignment Calc'!$H$5:$H$132&lt;&gt;"")*('Assignment Calc'!$H$5:$H$132&lt;=AR$3)*('Assignment Calc'!$I$5:$I$132&gt;=AR$3)*'Assignment Calc'!$K$5:$K$132*'Assignment Calc'!$L$5:$L$132))</f>
        <v>8.5</v>
      </c>
      <c r="AS4" s="26" t="n">
        <f aca="false">IF(WEEKDAY(AS$3,2)&gt;5,0,SUMPRODUCT(('Assignment Calc'!$D$5:$D$132=$A4)*('Assignment Calc'!$H$5:$H$132&lt;&gt;"")*('Assignment Calc'!$H$5:$H$132&lt;=AS$3)*('Assignment Calc'!$I$5:$I$132&gt;=AS$3)*'Assignment Calc'!$K$5:$K$132*'Assignment Calc'!$L$5:$L$132))</f>
        <v>8.5</v>
      </c>
      <c r="AT4" s="26" t="n">
        <f aca="false">IF(WEEKDAY(AT$3,2)&gt;5,0,SUMPRODUCT(('Assignment Calc'!$D$5:$D$132=$A4)*('Assignment Calc'!$H$5:$H$132&lt;&gt;"")*('Assignment Calc'!$H$5:$H$132&lt;=AT$3)*('Assignment Calc'!$I$5:$I$132&gt;=AT$3)*'Assignment Calc'!$K$5:$K$132*'Assignment Calc'!$L$5:$L$132))</f>
        <v>8.5</v>
      </c>
      <c r="AU4" s="26" t="n">
        <f aca="false">IF(WEEKDAY(AU$3,2)&gt;5,0,SUMPRODUCT(('Assignment Calc'!$D$5:$D$132=$A4)*('Assignment Calc'!$H$5:$H$132&lt;&gt;"")*('Assignment Calc'!$H$5:$H$132&lt;=AU$3)*('Assignment Calc'!$I$5:$I$132&gt;=AU$3)*'Assignment Calc'!$K$5:$K$132*'Assignment Calc'!$L$5:$L$132))</f>
        <v>0</v>
      </c>
      <c r="AV4" s="26" t="n">
        <f aca="false">IF(WEEKDAY(AV$3,2)&gt;5,0,SUMPRODUCT(('Assignment Calc'!$D$5:$D$132=$A4)*('Assignment Calc'!$H$5:$H$132&lt;&gt;"")*('Assignment Calc'!$H$5:$H$132&lt;=AV$3)*('Assignment Calc'!$I$5:$I$132&gt;=AV$3)*'Assignment Calc'!$K$5:$K$132*'Assignment Calc'!$L$5:$L$132))</f>
        <v>0</v>
      </c>
      <c r="AW4" s="26" t="n">
        <f aca="false">IF(WEEKDAY(AW$3,2)&gt;5,0,SUMPRODUCT(('Assignment Calc'!$D$5:$D$132=$A4)*('Assignment Calc'!$H$5:$H$132&lt;&gt;"")*('Assignment Calc'!$H$5:$H$132&lt;=AW$3)*('Assignment Calc'!$I$5:$I$132&gt;=AW$3)*'Assignment Calc'!$K$5:$K$132*'Assignment Calc'!$L$5:$L$132))</f>
        <v>0</v>
      </c>
      <c r="AX4" s="26" t="n">
        <f aca="false">IF(WEEKDAY(AX$3,2)&gt;5,0,SUMPRODUCT(('Assignment Calc'!$D$5:$D$132=$A4)*('Assignment Calc'!$H$5:$H$132&lt;&gt;"")*('Assignment Calc'!$H$5:$H$132&lt;=AX$3)*('Assignment Calc'!$I$5:$I$132&gt;=AX$3)*'Assignment Calc'!$K$5:$K$132*'Assignment Calc'!$L$5:$L$132))</f>
        <v>0</v>
      </c>
      <c r="AY4" s="26" t="n">
        <f aca="false">IF(WEEKDAY(AY$3,2)&gt;5,0,SUMPRODUCT(('Assignment Calc'!$D$5:$D$132=$A4)*('Assignment Calc'!$H$5:$H$132&lt;&gt;"")*('Assignment Calc'!$H$5:$H$132&lt;=AY$3)*('Assignment Calc'!$I$5:$I$132&gt;=AY$3)*'Assignment Calc'!$K$5:$K$132*'Assignment Calc'!$L$5:$L$132))</f>
        <v>0</v>
      </c>
      <c r="AZ4" s="26" t="n">
        <f aca="false">IF(WEEKDAY(AZ$3,2)&gt;5,0,SUMPRODUCT(('Assignment Calc'!$D$5:$D$132=$A4)*('Assignment Calc'!$H$5:$H$132&lt;&gt;"")*('Assignment Calc'!$H$5:$H$132&lt;=AZ$3)*('Assignment Calc'!$I$5:$I$132&gt;=AZ$3)*'Assignment Calc'!$K$5:$K$132*'Assignment Calc'!$L$5:$L$132))</f>
        <v>0</v>
      </c>
      <c r="BA4" s="26" t="n">
        <f aca="false">IF(WEEKDAY(BA$3,2)&gt;5,0,SUMPRODUCT(('Assignment Calc'!$D$5:$D$132=$A4)*('Assignment Calc'!$H$5:$H$132&lt;&gt;"")*('Assignment Calc'!$H$5:$H$132&lt;=BA$3)*('Assignment Calc'!$I$5:$I$132&gt;=BA$3)*'Assignment Calc'!$K$5:$K$132*'Assignment Calc'!$L$5:$L$132))</f>
        <v>0</v>
      </c>
      <c r="BB4" s="26" t="n">
        <f aca="false">IF(WEEKDAY(BB$3,2)&gt;5,0,SUMPRODUCT(('Assignment Calc'!$D$5:$D$132=$A4)*('Assignment Calc'!$H$5:$H$132&lt;&gt;"")*('Assignment Calc'!$H$5:$H$132&lt;=BB$3)*('Assignment Calc'!$I$5:$I$132&gt;=BB$3)*'Assignment Calc'!$K$5:$K$132*'Assignment Calc'!$L$5:$L$132))</f>
        <v>0</v>
      </c>
      <c r="BC4" s="26" t="n">
        <f aca="false">IF(WEEKDAY(BC$3,2)&gt;5,0,SUMPRODUCT(('Assignment Calc'!$D$5:$D$132=$A4)*('Assignment Calc'!$H$5:$H$132&lt;&gt;"")*('Assignment Calc'!$H$5:$H$132&lt;=BC$3)*('Assignment Calc'!$I$5:$I$132&gt;=BC$3)*'Assignment Calc'!$K$5:$K$132*'Assignment Calc'!$L$5:$L$132))</f>
        <v>0</v>
      </c>
      <c r="BD4" s="26" t="n">
        <f aca="false">IF(WEEKDAY(BD$3,2)&gt;5,0,SUMPRODUCT(('Assignment Calc'!$D$5:$D$132=$A4)*('Assignment Calc'!$H$5:$H$132&lt;&gt;"")*('Assignment Calc'!$H$5:$H$132&lt;=BD$3)*('Assignment Calc'!$I$5:$I$132&gt;=BD$3)*'Assignment Calc'!$K$5:$K$132*'Assignment Calc'!$L$5:$L$132))</f>
        <v>9.5</v>
      </c>
      <c r="BE4" s="26" t="n">
        <f aca="false">IF(WEEKDAY(BE$3,2)&gt;5,0,SUMPRODUCT(('Assignment Calc'!$D$5:$D$132=$A4)*('Assignment Calc'!$H$5:$H$132&lt;&gt;"")*('Assignment Calc'!$H$5:$H$132&lt;=BE$3)*('Assignment Calc'!$I$5:$I$132&gt;=BE$3)*'Assignment Calc'!$K$5:$K$132*'Assignment Calc'!$L$5:$L$132))</f>
        <v>9.5</v>
      </c>
      <c r="BF4" s="26" t="n">
        <f aca="false">IF(WEEKDAY(BF$3,2)&gt;5,0,SUMPRODUCT(('Assignment Calc'!$D$5:$D$132=$A4)*('Assignment Calc'!$H$5:$H$132&lt;&gt;"")*('Assignment Calc'!$H$5:$H$132&lt;=BF$3)*('Assignment Calc'!$I$5:$I$132&gt;=BF$3)*'Assignment Calc'!$K$5:$K$132*'Assignment Calc'!$L$5:$L$132))</f>
        <v>9.5</v>
      </c>
      <c r="BG4" s="26" t="n">
        <f aca="false">IF(WEEKDAY(BG$3,2)&gt;5,0,SUMPRODUCT(('Assignment Calc'!$D$5:$D$132=$A4)*('Assignment Calc'!$H$5:$H$132&lt;&gt;"")*('Assignment Calc'!$H$5:$H$132&lt;=BG$3)*('Assignment Calc'!$I$5:$I$132&gt;=BG$3)*'Assignment Calc'!$K$5:$K$132*'Assignment Calc'!$L$5:$L$132))</f>
        <v>9.5</v>
      </c>
      <c r="BH4" s="26" t="n">
        <f aca="false">IF(WEEKDAY(BH$3,2)&gt;5,0,SUMPRODUCT(('Assignment Calc'!$D$5:$D$132=$A4)*('Assignment Calc'!$H$5:$H$132&lt;&gt;"")*('Assignment Calc'!$H$5:$H$132&lt;=BH$3)*('Assignment Calc'!$I$5:$I$132&gt;=BH$3)*'Assignment Calc'!$K$5:$K$132*'Assignment Calc'!$L$5:$L$132))</f>
        <v>9.5</v>
      </c>
      <c r="BI4" s="26" t="n">
        <f aca="false">IF(WEEKDAY(BI$3,2)&gt;5,0,SUMPRODUCT(('Assignment Calc'!$D$5:$D$132=$A4)*('Assignment Calc'!$H$5:$H$132&lt;&gt;"")*('Assignment Calc'!$H$5:$H$132&lt;=BI$3)*('Assignment Calc'!$I$5:$I$132&gt;=BI$3)*'Assignment Calc'!$K$5:$K$132*'Assignment Calc'!$L$5:$L$132))</f>
        <v>0</v>
      </c>
      <c r="BJ4" s="26" t="n">
        <f aca="false">IF(WEEKDAY(BJ$3,2)&gt;5,0,SUMPRODUCT(('Assignment Calc'!$D$5:$D$132=$A4)*('Assignment Calc'!$H$5:$H$132&lt;&gt;"")*('Assignment Calc'!$H$5:$H$132&lt;=BJ$3)*('Assignment Calc'!$I$5:$I$132&gt;=BJ$3)*'Assignment Calc'!$K$5:$K$132*'Assignment Calc'!$L$5:$L$132))</f>
        <v>0</v>
      </c>
      <c r="BK4" s="26" t="n">
        <f aca="false">IF(WEEKDAY(BK$3,2)&gt;5,0,SUMPRODUCT(('Assignment Calc'!$D$5:$D$132=$A4)*('Assignment Calc'!$H$5:$H$132&lt;&gt;"")*('Assignment Calc'!$H$5:$H$132&lt;=BK$3)*('Assignment Calc'!$I$5:$I$132&gt;=BK$3)*'Assignment Calc'!$K$5:$K$132*'Assignment Calc'!$L$5:$L$132))</f>
        <v>0</v>
      </c>
      <c r="BL4" s="26" t="n">
        <f aca="false">IF(WEEKDAY(BL$3,2)&gt;5,0,SUMPRODUCT(('Assignment Calc'!$D$5:$D$132=$A4)*('Assignment Calc'!$H$5:$H$132&lt;&gt;"")*('Assignment Calc'!$H$5:$H$132&lt;=BL$3)*('Assignment Calc'!$I$5:$I$132&gt;=BL$3)*'Assignment Calc'!$K$5:$K$132*'Assignment Calc'!$L$5:$L$132))</f>
        <v>4.5</v>
      </c>
      <c r="BM4" s="26" t="n">
        <f aca="false">IF(WEEKDAY(BM$3,2)&gt;5,0,SUMPRODUCT(('Assignment Calc'!$D$5:$D$132=$A4)*('Assignment Calc'!$H$5:$H$132&lt;&gt;"")*('Assignment Calc'!$H$5:$H$132&lt;=BM$3)*('Assignment Calc'!$I$5:$I$132&gt;=BM$3)*'Assignment Calc'!$K$5:$K$132*'Assignment Calc'!$L$5:$L$132))</f>
        <v>4.5</v>
      </c>
      <c r="BN4" s="26" t="n">
        <f aca="false">IF(WEEKDAY(BN$3,2)&gt;5,0,SUMPRODUCT(('Assignment Calc'!$D$5:$D$132=$A4)*('Assignment Calc'!$H$5:$H$132&lt;&gt;"")*('Assignment Calc'!$H$5:$H$132&lt;=BN$3)*('Assignment Calc'!$I$5:$I$132&gt;=BN$3)*'Assignment Calc'!$K$5:$K$132*'Assignment Calc'!$L$5:$L$132))</f>
        <v>4.5</v>
      </c>
      <c r="BO4" s="26" t="n">
        <f aca="false">IF(WEEKDAY(BO$3,2)&gt;5,0,SUMPRODUCT(('Assignment Calc'!$D$5:$D$132=$A4)*('Assignment Calc'!$H$5:$H$132&lt;&gt;"")*('Assignment Calc'!$H$5:$H$132&lt;=BO$3)*('Assignment Calc'!$I$5:$I$132&gt;=BO$3)*'Assignment Calc'!$K$5:$K$132*'Assignment Calc'!$L$5:$L$132))</f>
        <v>4.5</v>
      </c>
      <c r="BP4" s="26" t="n">
        <f aca="false">IF(WEEKDAY(BP$3,2)&gt;5,0,SUMPRODUCT(('Assignment Calc'!$D$5:$D$132=$A4)*('Assignment Calc'!$H$5:$H$132&lt;&gt;"")*('Assignment Calc'!$H$5:$H$132&lt;=BP$3)*('Assignment Calc'!$I$5:$I$132&gt;=BP$3)*'Assignment Calc'!$K$5:$K$132*'Assignment Calc'!$L$5:$L$132))</f>
        <v>0</v>
      </c>
      <c r="BQ4" s="26" t="n">
        <f aca="false">IF(WEEKDAY(BQ$3,2)&gt;5,0,SUMPRODUCT(('Assignment Calc'!$D$5:$D$132=$A4)*('Assignment Calc'!$H$5:$H$132&lt;&gt;"")*('Assignment Calc'!$H$5:$H$132&lt;=BQ$3)*('Assignment Calc'!$I$5:$I$132&gt;=BQ$3)*'Assignment Calc'!$K$5:$K$132*'Assignment Calc'!$L$5:$L$132))</f>
        <v>0</v>
      </c>
      <c r="BR4" s="26" t="n">
        <f aca="false">IF(WEEKDAY(BR$3,2)&gt;5,0,SUMPRODUCT(('Assignment Calc'!$D$5:$D$132=$A4)*('Assignment Calc'!$H$5:$H$132&lt;&gt;"")*('Assignment Calc'!$H$5:$H$132&lt;=BR$3)*('Assignment Calc'!$I$5:$I$132&gt;=BR$3)*'Assignment Calc'!$K$5:$K$132*'Assignment Calc'!$L$5:$L$132))</f>
        <v>3</v>
      </c>
      <c r="BS4" s="26" t="n">
        <f aca="false">IF(WEEKDAY(BS$3,2)&gt;5,0,SUMPRODUCT(('Assignment Calc'!$D$5:$D$132=$A4)*('Assignment Calc'!$H$5:$H$132&lt;&gt;"")*('Assignment Calc'!$H$5:$H$132&lt;=BS$3)*('Assignment Calc'!$I$5:$I$132&gt;=BS$3)*'Assignment Calc'!$K$5:$K$132*'Assignment Calc'!$L$5:$L$132))</f>
        <v>3</v>
      </c>
      <c r="BT4" s="26" t="n">
        <f aca="false">IF(WEEKDAY(BT$3,2)&gt;5,0,SUMPRODUCT(('Assignment Calc'!$D$5:$D$132=$A4)*('Assignment Calc'!$H$5:$H$132&lt;&gt;"")*('Assignment Calc'!$H$5:$H$132&lt;=BT$3)*('Assignment Calc'!$I$5:$I$132&gt;=BT$3)*'Assignment Calc'!$K$5:$K$132*'Assignment Calc'!$L$5:$L$132))</f>
        <v>3</v>
      </c>
      <c r="BU4" s="26" t="n">
        <f aca="false">IF(WEEKDAY(BU$3,2)&gt;5,0,SUMPRODUCT(('Assignment Calc'!$D$5:$D$132=$A4)*('Assignment Calc'!$H$5:$H$132&lt;&gt;"")*('Assignment Calc'!$H$5:$H$132&lt;=BU$3)*('Assignment Calc'!$I$5:$I$132&gt;=BU$3)*'Assignment Calc'!$K$5:$K$132*'Assignment Calc'!$L$5:$L$132))</f>
        <v>3</v>
      </c>
      <c r="BV4" s="26" t="n">
        <f aca="false">IF(WEEKDAY(BV$3,2)&gt;5,0,SUMPRODUCT(('Assignment Calc'!$D$5:$D$132=$A4)*('Assignment Calc'!$H$5:$H$132&lt;&gt;"")*('Assignment Calc'!$H$5:$H$132&lt;=BV$3)*('Assignment Calc'!$I$5:$I$132&gt;=BV$3)*'Assignment Calc'!$K$5:$K$132*'Assignment Calc'!$L$5:$L$132))</f>
        <v>3</v>
      </c>
      <c r="BW4" s="26" t="n">
        <f aca="false">IF(WEEKDAY(BW$3,2)&gt;5,0,SUMPRODUCT(('Assignment Calc'!$D$5:$D$132=$A4)*('Assignment Calc'!$H$5:$H$132&lt;&gt;"")*('Assignment Calc'!$H$5:$H$132&lt;=BW$3)*('Assignment Calc'!$I$5:$I$132&gt;=BW$3)*'Assignment Calc'!$K$5:$K$132*'Assignment Calc'!$L$5:$L$132))</f>
        <v>0</v>
      </c>
      <c r="BX4" s="26" t="n">
        <f aca="false">IF(WEEKDAY(BX$3,2)&gt;5,0,SUMPRODUCT(('Assignment Calc'!$D$5:$D$132=$A4)*('Assignment Calc'!$H$5:$H$132&lt;&gt;"")*('Assignment Calc'!$H$5:$H$132&lt;=BX$3)*('Assignment Calc'!$I$5:$I$132&gt;=BX$3)*'Assignment Calc'!$K$5:$K$132*'Assignment Calc'!$L$5:$L$132))</f>
        <v>0</v>
      </c>
      <c r="BY4" s="26" t="n">
        <f aca="false">IF(WEEKDAY(BY$3,2)&gt;5,0,SUMPRODUCT(('Assignment Calc'!$D$5:$D$132=$A4)*('Assignment Calc'!$H$5:$H$132&lt;&gt;"")*('Assignment Calc'!$H$5:$H$132&lt;=BY$3)*('Assignment Calc'!$I$5:$I$132&gt;=BY$3)*'Assignment Calc'!$K$5:$K$132*'Assignment Calc'!$L$5:$L$132))</f>
        <v>0</v>
      </c>
      <c r="BZ4" s="26" t="n">
        <f aca="false">IF(WEEKDAY(BZ$3,2)&gt;5,0,SUMPRODUCT(('Assignment Calc'!$D$5:$D$132=$A4)*('Assignment Calc'!$H$5:$H$132&lt;&gt;"")*('Assignment Calc'!$H$5:$H$132&lt;=BZ$3)*('Assignment Calc'!$I$5:$I$132&gt;=BZ$3)*'Assignment Calc'!$K$5:$K$132*'Assignment Calc'!$L$5:$L$132))</f>
        <v>0</v>
      </c>
      <c r="CA4" s="26" t="n">
        <f aca="false">IF(WEEKDAY(CA$3,2)&gt;5,0,SUMPRODUCT(('Assignment Calc'!$D$5:$D$132=$A4)*('Assignment Calc'!$H$5:$H$132&lt;&gt;"")*('Assignment Calc'!$H$5:$H$132&lt;=CA$3)*('Assignment Calc'!$I$5:$I$132&gt;=CA$3)*'Assignment Calc'!$K$5:$K$132*'Assignment Calc'!$L$5:$L$132))</f>
        <v>0</v>
      </c>
      <c r="CB4" s="26" t="n">
        <f aca="false">IF(WEEKDAY(CB$3,2)&gt;5,0,SUMPRODUCT(('Assignment Calc'!$D$5:$D$132=$A4)*('Assignment Calc'!$H$5:$H$132&lt;&gt;"")*('Assignment Calc'!$H$5:$H$132&lt;=CB$3)*('Assignment Calc'!$I$5:$I$132&gt;=CB$3)*'Assignment Calc'!$K$5:$K$132*'Assignment Calc'!$L$5:$L$132))</f>
        <v>0</v>
      </c>
      <c r="CC4" s="26" t="n">
        <f aca="false">IF(WEEKDAY(CC$3,2)&gt;5,0,SUMPRODUCT(('Assignment Calc'!$D$5:$D$132=$A4)*('Assignment Calc'!$H$5:$H$132&lt;&gt;"")*('Assignment Calc'!$H$5:$H$132&lt;=CC$3)*('Assignment Calc'!$I$5:$I$132&gt;=CC$3)*'Assignment Calc'!$K$5:$K$132*'Assignment Calc'!$L$5:$L$132))</f>
        <v>0</v>
      </c>
      <c r="CD4" s="26" t="n">
        <f aca="false">IF(WEEKDAY(CD$3,2)&gt;5,0,SUMPRODUCT(('Assignment Calc'!$D$5:$D$132=$A4)*('Assignment Calc'!$H$5:$H$132&lt;&gt;"")*('Assignment Calc'!$H$5:$H$132&lt;=CD$3)*('Assignment Calc'!$I$5:$I$132&gt;=CD$3)*'Assignment Calc'!$K$5:$K$132*'Assignment Calc'!$L$5:$L$132))</f>
        <v>0</v>
      </c>
      <c r="CE4" s="26" t="n">
        <f aca="false">IF(WEEKDAY(CE$3,2)&gt;5,0,SUMPRODUCT(('Assignment Calc'!$D$5:$D$132=$A4)*('Assignment Calc'!$H$5:$H$132&lt;&gt;"")*('Assignment Calc'!$H$5:$H$132&lt;=CE$3)*('Assignment Calc'!$I$5:$I$132&gt;=CE$3)*'Assignment Calc'!$K$5:$K$132*'Assignment Calc'!$L$5:$L$132))</f>
        <v>0</v>
      </c>
      <c r="CF4" s="26" t="n">
        <f aca="false">IF(WEEKDAY(CF$3,2)&gt;5,0,SUMPRODUCT(('Assignment Calc'!$D$5:$D$132=$A4)*('Assignment Calc'!$H$5:$H$132&lt;&gt;"")*('Assignment Calc'!$H$5:$H$132&lt;=CF$3)*('Assignment Calc'!$I$5:$I$132&gt;=CF$3)*'Assignment Calc'!$K$5:$K$132*'Assignment Calc'!$L$5:$L$132))</f>
        <v>12</v>
      </c>
      <c r="CG4" s="26" t="n">
        <f aca="false">IF(WEEKDAY(CG$3,2)&gt;5,0,SUMPRODUCT(('Assignment Calc'!$D$5:$D$132=$A4)*('Assignment Calc'!$H$5:$H$132&lt;&gt;"")*('Assignment Calc'!$H$5:$H$132&lt;=CG$3)*('Assignment Calc'!$I$5:$I$132&gt;=CG$3)*'Assignment Calc'!$K$5:$K$132*'Assignment Calc'!$L$5:$L$132))</f>
        <v>12</v>
      </c>
      <c r="CH4" s="26" t="n">
        <f aca="false">IF(WEEKDAY(CH$3,2)&gt;5,0,SUMPRODUCT(('Assignment Calc'!$D$5:$D$132=$A4)*('Assignment Calc'!$H$5:$H$132&lt;&gt;"")*('Assignment Calc'!$H$5:$H$132&lt;=CH$3)*('Assignment Calc'!$I$5:$I$132&gt;=CH$3)*'Assignment Calc'!$K$5:$K$132*'Assignment Calc'!$L$5:$L$132))</f>
        <v>12</v>
      </c>
      <c r="CI4" s="26" t="n">
        <f aca="false">IF(WEEKDAY(CI$3,2)&gt;5,0,SUMPRODUCT(('Assignment Calc'!$D$5:$D$132=$A4)*('Assignment Calc'!$H$5:$H$132&lt;&gt;"")*('Assignment Calc'!$H$5:$H$132&lt;=CI$3)*('Assignment Calc'!$I$5:$I$132&gt;=CI$3)*'Assignment Calc'!$K$5:$K$132*'Assignment Calc'!$L$5:$L$132))</f>
        <v>12</v>
      </c>
      <c r="CJ4" s="26" t="n">
        <f aca="false">IF(WEEKDAY(CJ$3,2)&gt;5,0,SUMPRODUCT(('Assignment Calc'!$D$5:$D$132=$A4)*('Assignment Calc'!$H$5:$H$132&lt;&gt;"")*('Assignment Calc'!$H$5:$H$132&lt;=CJ$3)*('Assignment Calc'!$I$5:$I$132&gt;=CJ$3)*'Assignment Calc'!$K$5:$K$132*'Assignment Calc'!$L$5:$L$132))</f>
        <v>12</v>
      </c>
      <c r="CK4" s="26" t="n">
        <f aca="false">IF(WEEKDAY(CK$3,2)&gt;5,0,SUMPRODUCT(('Assignment Calc'!$D$5:$D$132=$A4)*('Assignment Calc'!$H$5:$H$132&lt;&gt;"")*('Assignment Calc'!$H$5:$H$132&lt;=CK$3)*('Assignment Calc'!$I$5:$I$132&gt;=CK$3)*'Assignment Calc'!$K$5:$K$132*'Assignment Calc'!$L$5:$L$132))</f>
        <v>0</v>
      </c>
      <c r="CL4" s="26" t="n">
        <f aca="false">IF(WEEKDAY(CL$3,2)&gt;5,0,SUMPRODUCT(('Assignment Calc'!$D$5:$D$132=$A4)*('Assignment Calc'!$H$5:$H$132&lt;&gt;"")*('Assignment Calc'!$H$5:$H$132&lt;=CL$3)*('Assignment Calc'!$I$5:$I$132&gt;=CL$3)*'Assignment Calc'!$K$5:$K$132*'Assignment Calc'!$L$5:$L$132))</f>
        <v>0</v>
      </c>
      <c r="CM4" s="26" t="n">
        <f aca="false">IF(WEEKDAY(CM$3,2)&gt;5,0,SUMPRODUCT(('Assignment Calc'!$D$5:$D$132=$A4)*('Assignment Calc'!$H$5:$H$132&lt;&gt;"")*('Assignment Calc'!$H$5:$H$132&lt;=CM$3)*('Assignment Calc'!$I$5:$I$132&gt;=CM$3)*'Assignment Calc'!$K$5:$K$132*'Assignment Calc'!$L$5:$L$132))</f>
        <v>9</v>
      </c>
      <c r="CN4" s="26" t="n">
        <f aca="false">IF(WEEKDAY(CN$3,2)&gt;5,0,SUMPRODUCT(('Assignment Calc'!$D$5:$D$132=$A4)*('Assignment Calc'!$H$5:$H$132&lt;&gt;"")*('Assignment Calc'!$H$5:$H$132&lt;=CN$3)*('Assignment Calc'!$I$5:$I$132&gt;=CN$3)*'Assignment Calc'!$K$5:$K$132*'Assignment Calc'!$L$5:$L$132))</f>
        <v>9</v>
      </c>
      <c r="CO4" s="26" t="n">
        <f aca="false">IF(WEEKDAY(CO$3,2)&gt;5,0,SUMPRODUCT(('Assignment Calc'!$D$5:$D$132=$A4)*('Assignment Calc'!$H$5:$H$132&lt;&gt;"")*('Assignment Calc'!$H$5:$H$132&lt;=CO$3)*('Assignment Calc'!$I$5:$I$132&gt;=CO$3)*'Assignment Calc'!$K$5:$K$132*'Assignment Calc'!$L$5:$L$132))</f>
        <v>9</v>
      </c>
      <c r="CP4" s="26" t="n">
        <f aca="false">IF(WEEKDAY(CP$3,2)&gt;5,0,SUMPRODUCT(('Assignment Calc'!$D$5:$D$132=$A4)*('Assignment Calc'!$H$5:$H$132&lt;&gt;"")*('Assignment Calc'!$H$5:$H$132&lt;=CP$3)*('Assignment Calc'!$I$5:$I$132&gt;=CP$3)*'Assignment Calc'!$K$5:$K$132*'Assignment Calc'!$L$5:$L$132))</f>
        <v>9</v>
      </c>
    </row>
    <row r="5" customFormat="false" ht="15" hidden="false" customHeight="true" outlineLevel="0" collapsed="false">
      <c r="A5" s="2" t="s">
        <v>94</v>
      </c>
      <c r="B5" s="23" t="n">
        <f aca="false">SUM(C5:CP5)</f>
        <v>589.25</v>
      </c>
      <c r="C5" s="26" t="n">
        <f aca="false">IF(WEEKDAY(C$3,2)&gt;5,0,SUMPRODUCT(('Assignment Calc'!$D$5:$D$132=$A5)*('Assignment Calc'!$H$5:$H$132&lt;&gt;"")*('Assignment Calc'!$H$5:$H$132&lt;=C$3)*('Assignment Calc'!$I$5:$I$132&gt;=C$3)*'Assignment Calc'!$K$5:$K$132*'Assignment Calc'!$L$5:$L$132))</f>
        <v>21</v>
      </c>
      <c r="D5" s="26" t="n">
        <f aca="false">IF(WEEKDAY(D$3,2)&gt;5,0,SUMPRODUCT(('Assignment Calc'!$D$5:$D$132=$A5)*('Assignment Calc'!$H$5:$H$132&lt;&gt;"")*('Assignment Calc'!$H$5:$H$132&lt;=D$3)*('Assignment Calc'!$I$5:$I$132&gt;=D$3)*'Assignment Calc'!$K$5:$K$132*'Assignment Calc'!$L$5:$L$132))</f>
        <v>9</v>
      </c>
      <c r="E5" s="26" t="n">
        <f aca="false">IF(WEEKDAY(E$3,2)&gt;5,0,SUMPRODUCT(('Assignment Calc'!$D$5:$D$132=$A5)*('Assignment Calc'!$H$5:$H$132&lt;&gt;"")*('Assignment Calc'!$H$5:$H$132&lt;=E$3)*('Assignment Calc'!$I$5:$I$132&gt;=E$3)*'Assignment Calc'!$K$5:$K$132*'Assignment Calc'!$L$5:$L$132))</f>
        <v>0</v>
      </c>
      <c r="F5" s="26" t="n">
        <f aca="false">IF(WEEKDAY(F$3,2)&gt;5,0,SUMPRODUCT(('Assignment Calc'!$D$5:$D$132=$A5)*('Assignment Calc'!$H$5:$H$132&lt;&gt;"")*('Assignment Calc'!$H$5:$H$132&lt;=F$3)*('Assignment Calc'!$I$5:$I$132&gt;=F$3)*'Assignment Calc'!$K$5:$K$132*'Assignment Calc'!$L$5:$L$132))</f>
        <v>0</v>
      </c>
      <c r="G5" s="26" t="n">
        <f aca="false">IF(WEEKDAY(G$3,2)&gt;5,0,SUMPRODUCT(('Assignment Calc'!$D$5:$D$132=$A5)*('Assignment Calc'!$H$5:$H$132&lt;&gt;"")*('Assignment Calc'!$H$5:$H$132&lt;=G$3)*('Assignment Calc'!$I$5:$I$132&gt;=G$3)*'Assignment Calc'!$K$5:$K$132*'Assignment Calc'!$L$5:$L$132))</f>
        <v>18</v>
      </c>
      <c r="H5" s="26" t="n">
        <f aca="false">IF(WEEKDAY(H$3,2)&gt;5,0,SUMPRODUCT(('Assignment Calc'!$D$5:$D$132=$A5)*('Assignment Calc'!$H$5:$H$132&lt;&gt;"")*('Assignment Calc'!$H$5:$H$132&lt;=H$3)*('Assignment Calc'!$I$5:$I$132&gt;=H$3)*'Assignment Calc'!$K$5:$K$132*'Assignment Calc'!$L$5:$L$132))</f>
        <v>18</v>
      </c>
      <c r="I5" s="26" t="n">
        <f aca="false">IF(WEEKDAY(I$3,2)&gt;5,0,SUMPRODUCT(('Assignment Calc'!$D$5:$D$132=$A5)*('Assignment Calc'!$H$5:$H$132&lt;&gt;"")*('Assignment Calc'!$H$5:$H$132&lt;=I$3)*('Assignment Calc'!$I$5:$I$132&gt;=I$3)*'Assignment Calc'!$K$5:$K$132*'Assignment Calc'!$L$5:$L$132))</f>
        <v>18</v>
      </c>
      <c r="J5" s="26" t="n">
        <f aca="false">IF(WEEKDAY(J$3,2)&gt;5,0,SUMPRODUCT(('Assignment Calc'!$D$5:$D$132=$A5)*('Assignment Calc'!$H$5:$H$132&lt;&gt;"")*('Assignment Calc'!$H$5:$H$132&lt;=J$3)*('Assignment Calc'!$I$5:$I$132&gt;=J$3)*'Assignment Calc'!$K$5:$K$132*'Assignment Calc'!$L$5:$L$132))</f>
        <v>18</v>
      </c>
      <c r="K5" s="26" t="n">
        <f aca="false">IF(WEEKDAY(K$3,2)&gt;5,0,SUMPRODUCT(('Assignment Calc'!$D$5:$D$132=$A5)*('Assignment Calc'!$H$5:$H$132&lt;&gt;"")*('Assignment Calc'!$H$5:$H$132&lt;=K$3)*('Assignment Calc'!$I$5:$I$132&gt;=K$3)*'Assignment Calc'!$K$5:$K$132*'Assignment Calc'!$L$5:$L$132))</f>
        <v>18</v>
      </c>
      <c r="L5" s="26" t="n">
        <f aca="false">IF(WEEKDAY(L$3,2)&gt;5,0,SUMPRODUCT(('Assignment Calc'!$D$5:$D$132=$A5)*('Assignment Calc'!$H$5:$H$132&lt;&gt;"")*('Assignment Calc'!$H$5:$H$132&lt;=L$3)*('Assignment Calc'!$I$5:$I$132&gt;=L$3)*'Assignment Calc'!$K$5:$K$132*'Assignment Calc'!$L$5:$L$132))</f>
        <v>0</v>
      </c>
      <c r="M5" s="26" t="n">
        <f aca="false">IF(WEEKDAY(M$3,2)&gt;5,0,SUMPRODUCT(('Assignment Calc'!$D$5:$D$132=$A5)*('Assignment Calc'!$H$5:$H$132&lt;&gt;"")*('Assignment Calc'!$H$5:$H$132&lt;=M$3)*('Assignment Calc'!$I$5:$I$132&gt;=M$3)*'Assignment Calc'!$K$5:$K$132*'Assignment Calc'!$L$5:$L$132))</f>
        <v>0</v>
      </c>
      <c r="N5" s="26" t="n">
        <f aca="false">IF(WEEKDAY(N$3,2)&gt;5,0,SUMPRODUCT(('Assignment Calc'!$D$5:$D$132=$A5)*('Assignment Calc'!$H$5:$H$132&lt;&gt;"")*('Assignment Calc'!$H$5:$H$132&lt;=N$3)*('Assignment Calc'!$I$5:$I$132&gt;=N$3)*'Assignment Calc'!$K$5:$K$132*'Assignment Calc'!$L$5:$L$132))</f>
        <v>11.25</v>
      </c>
      <c r="O5" s="26" t="n">
        <f aca="false">IF(WEEKDAY(O$3,2)&gt;5,0,SUMPRODUCT(('Assignment Calc'!$D$5:$D$132=$A5)*('Assignment Calc'!$H$5:$H$132&lt;&gt;"")*('Assignment Calc'!$H$5:$H$132&lt;=O$3)*('Assignment Calc'!$I$5:$I$132&gt;=O$3)*'Assignment Calc'!$K$5:$K$132*'Assignment Calc'!$L$5:$L$132))</f>
        <v>11.25</v>
      </c>
      <c r="P5" s="26" t="n">
        <f aca="false">IF(WEEKDAY(P$3,2)&gt;5,0,SUMPRODUCT(('Assignment Calc'!$D$5:$D$132=$A5)*('Assignment Calc'!$H$5:$H$132&lt;&gt;"")*('Assignment Calc'!$H$5:$H$132&lt;=P$3)*('Assignment Calc'!$I$5:$I$132&gt;=P$3)*'Assignment Calc'!$K$5:$K$132*'Assignment Calc'!$L$5:$L$132))</f>
        <v>11.25</v>
      </c>
      <c r="Q5" s="26" t="n">
        <f aca="false">IF(WEEKDAY(Q$3,2)&gt;5,0,SUMPRODUCT(('Assignment Calc'!$D$5:$D$132=$A5)*('Assignment Calc'!$H$5:$H$132&lt;&gt;"")*('Assignment Calc'!$H$5:$H$132&lt;=Q$3)*('Assignment Calc'!$I$5:$I$132&gt;=Q$3)*'Assignment Calc'!$K$5:$K$132*'Assignment Calc'!$L$5:$L$132))</f>
        <v>11.25</v>
      </c>
      <c r="R5" s="26" t="n">
        <f aca="false">IF(WEEKDAY(R$3,2)&gt;5,0,SUMPRODUCT(('Assignment Calc'!$D$5:$D$132=$A5)*('Assignment Calc'!$H$5:$H$132&lt;&gt;"")*('Assignment Calc'!$H$5:$H$132&lt;=R$3)*('Assignment Calc'!$I$5:$I$132&gt;=R$3)*'Assignment Calc'!$K$5:$K$132*'Assignment Calc'!$L$5:$L$132))</f>
        <v>11.25</v>
      </c>
      <c r="S5" s="26" t="n">
        <f aca="false">IF(WEEKDAY(S$3,2)&gt;5,0,SUMPRODUCT(('Assignment Calc'!$D$5:$D$132=$A5)*('Assignment Calc'!$H$5:$H$132&lt;&gt;"")*('Assignment Calc'!$H$5:$H$132&lt;=S$3)*('Assignment Calc'!$I$5:$I$132&gt;=S$3)*'Assignment Calc'!$K$5:$K$132*'Assignment Calc'!$L$5:$L$132))</f>
        <v>0</v>
      </c>
      <c r="T5" s="26" t="n">
        <f aca="false">IF(WEEKDAY(T$3,2)&gt;5,0,SUMPRODUCT(('Assignment Calc'!$D$5:$D$132=$A5)*('Assignment Calc'!$H$5:$H$132&lt;&gt;"")*('Assignment Calc'!$H$5:$H$132&lt;=T$3)*('Assignment Calc'!$I$5:$I$132&gt;=T$3)*'Assignment Calc'!$K$5:$K$132*'Assignment Calc'!$L$5:$L$132))</f>
        <v>0</v>
      </c>
      <c r="U5" s="26" t="n">
        <f aca="false">IF(WEEKDAY(U$3,2)&gt;5,0,SUMPRODUCT(('Assignment Calc'!$D$5:$D$132=$A5)*('Assignment Calc'!$H$5:$H$132&lt;&gt;"")*('Assignment Calc'!$H$5:$H$132&lt;=U$3)*('Assignment Calc'!$I$5:$I$132&gt;=U$3)*'Assignment Calc'!$K$5:$K$132*'Assignment Calc'!$L$5:$L$132))</f>
        <v>9</v>
      </c>
      <c r="V5" s="26" t="n">
        <f aca="false">IF(WEEKDAY(V$3,2)&gt;5,0,SUMPRODUCT(('Assignment Calc'!$D$5:$D$132=$A5)*('Assignment Calc'!$H$5:$H$132&lt;&gt;"")*('Assignment Calc'!$H$5:$H$132&lt;=V$3)*('Assignment Calc'!$I$5:$I$132&gt;=V$3)*'Assignment Calc'!$K$5:$K$132*'Assignment Calc'!$L$5:$L$132))</f>
        <v>9</v>
      </c>
      <c r="W5" s="26" t="n">
        <f aca="false">IF(WEEKDAY(W$3,2)&gt;5,0,SUMPRODUCT(('Assignment Calc'!$D$5:$D$132=$A5)*('Assignment Calc'!$H$5:$H$132&lt;&gt;"")*('Assignment Calc'!$H$5:$H$132&lt;=W$3)*('Assignment Calc'!$I$5:$I$132&gt;=W$3)*'Assignment Calc'!$K$5:$K$132*'Assignment Calc'!$L$5:$L$132))</f>
        <v>9</v>
      </c>
      <c r="X5" s="26" t="n">
        <f aca="false">IF(WEEKDAY(X$3,2)&gt;5,0,SUMPRODUCT(('Assignment Calc'!$D$5:$D$132=$A5)*('Assignment Calc'!$H$5:$H$132&lt;&gt;"")*('Assignment Calc'!$H$5:$H$132&lt;=X$3)*('Assignment Calc'!$I$5:$I$132&gt;=X$3)*'Assignment Calc'!$K$5:$K$132*'Assignment Calc'!$L$5:$L$132))</f>
        <v>9</v>
      </c>
      <c r="Y5" s="26" t="n">
        <f aca="false">IF(WEEKDAY(Y$3,2)&gt;5,0,SUMPRODUCT(('Assignment Calc'!$D$5:$D$132=$A5)*('Assignment Calc'!$H$5:$H$132&lt;&gt;"")*('Assignment Calc'!$H$5:$H$132&lt;=Y$3)*('Assignment Calc'!$I$5:$I$132&gt;=Y$3)*'Assignment Calc'!$K$5:$K$132*'Assignment Calc'!$L$5:$L$132))</f>
        <v>9</v>
      </c>
      <c r="Z5" s="26" t="n">
        <f aca="false">IF(WEEKDAY(Z$3,2)&gt;5,0,SUMPRODUCT(('Assignment Calc'!$D$5:$D$132=$A5)*('Assignment Calc'!$H$5:$H$132&lt;&gt;"")*('Assignment Calc'!$H$5:$H$132&lt;=Z$3)*('Assignment Calc'!$I$5:$I$132&gt;=Z$3)*'Assignment Calc'!$K$5:$K$132*'Assignment Calc'!$L$5:$L$132))</f>
        <v>0</v>
      </c>
      <c r="AA5" s="26" t="n">
        <f aca="false">IF(WEEKDAY(AA$3,2)&gt;5,0,SUMPRODUCT(('Assignment Calc'!$D$5:$D$132=$A5)*('Assignment Calc'!$H$5:$H$132&lt;&gt;"")*('Assignment Calc'!$H$5:$H$132&lt;=AA$3)*('Assignment Calc'!$I$5:$I$132&gt;=AA$3)*'Assignment Calc'!$K$5:$K$132*'Assignment Calc'!$L$5:$L$132))</f>
        <v>0</v>
      </c>
      <c r="AB5" s="26" t="n">
        <f aca="false">IF(WEEKDAY(AB$3,2)&gt;5,0,SUMPRODUCT(('Assignment Calc'!$D$5:$D$132=$A5)*('Assignment Calc'!$H$5:$H$132&lt;&gt;"")*('Assignment Calc'!$H$5:$H$132&lt;=AB$3)*('Assignment Calc'!$I$5:$I$132&gt;=AB$3)*'Assignment Calc'!$K$5:$K$132*'Assignment Calc'!$L$5:$L$132))</f>
        <v>22.5</v>
      </c>
      <c r="AC5" s="26" t="n">
        <f aca="false">IF(WEEKDAY(AC$3,2)&gt;5,0,SUMPRODUCT(('Assignment Calc'!$D$5:$D$132=$A5)*('Assignment Calc'!$H$5:$H$132&lt;&gt;"")*('Assignment Calc'!$H$5:$H$132&lt;=AC$3)*('Assignment Calc'!$I$5:$I$132&gt;=AC$3)*'Assignment Calc'!$K$5:$K$132*'Assignment Calc'!$L$5:$L$132))</f>
        <v>22.5</v>
      </c>
      <c r="AD5" s="26" t="n">
        <f aca="false">IF(WEEKDAY(AD$3,2)&gt;5,0,SUMPRODUCT(('Assignment Calc'!$D$5:$D$132=$A5)*('Assignment Calc'!$H$5:$H$132&lt;&gt;"")*('Assignment Calc'!$H$5:$H$132&lt;=AD$3)*('Assignment Calc'!$I$5:$I$132&gt;=AD$3)*'Assignment Calc'!$K$5:$K$132*'Assignment Calc'!$L$5:$L$132))</f>
        <v>22.5</v>
      </c>
      <c r="AE5" s="26" t="n">
        <f aca="false">IF(WEEKDAY(AE$3,2)&gt;5,0,SUMPRODUCT(('Assignment Calc'!$D$5:$D$132=$A5)*('Assignment Calc'!$H$5:$H$132&lt;&gt;"")*('Assignment Calc'!$H$5:$H$132&lt;=AE$3)*('Assignment Calc'!$I$5:$I$132&gt;=AE$3)*'Assignment Calc'!$K$5:$K$132*'Assignment Calc'!$L$5:$L$132))</f>
        <v>22.5</v>
      </c>
      <c r="AF5" s="26" t="n">
        <f aca="false">IF(WEEKDAY(AF$3,2)&gt;5,0,SUMPRODUCT(('Assignment Calc'!$D$5:$D$132=$A5)*('Assignment Calc'!$H$5:$H$132&lt;&gt;"")*('Assignment Calc'!$H$5:$H$132&lt;=AF$3)*('Assignment Calc'!$I$5:$I$132&gt;=AF$3)*'Assignment Calc'!$K$5:$K$132*'Assignment Calc'!$L$5:$L$132))</f>
        <v>22.5</v>
      </c>
      <c r="AG5" s="26" t="n">
        <f aca="false">IF(WEEKDAY(AG$3,2)&gt;5,0,SUMPRODUCT(('Assignment Calc'!$D$5:$D$132=$A5)*('Assignment Calc'!$H$5:$H$132&lt;&gt;"")*('Assignment Calc'!$H$5:$H$132&lt;=AG$3)*('Assignment Calc'!$I$5:$I$132&gt;=AG$3)*'Assignment Calc'!$K$5:$K$132*'Assignment Calc'!$L$5:$L$132))</f>
        <v>0</v>
      </c>
      <c r="AH5" s="26" t="n">
        <f aca="false">IF(WEEKDAY(AH$3,2)&gt;5,0,SUMPRODUCT(('Assignment Calc'!$D$5:$D$132=$A5)*('Assignment Calc'!$H$5:$H$132&lt;&gt;"")*('Assignment Calc'!$H$5:$H$132&lt;=AH$3)*('Assignment Calc'!$I$5:$I$132&gt;=AH$3)*'Assignment Calc'!$K$5:$K$132*'Assignment Calc'!$L$5:$L$132))</f>
        <v>0</v>
      </c>
      <c r="AI5" s="26" t="n">
        <f aca="false">IF(WEEKDAY(AI$3,2)&gt;5,0,SUMPRODUCT(('Assignment Calc'!$D$5:$D$132=$A5)*('Assignment Calc'!$H$5:$H$132&lt;&gt;"")*('Assignment Calc'!$H$5:$H$132&lt;=AI$3)*('Assignment Calc'!$I$5:$I$132&gt;=AI$3)*'Assignment Calc'!$K$5:$K$132*'Assignment Calc'!$L$5:$L$132))</f>
        <v>4.5</v>
      </c>
      <c r="AJ5" s="26" t="n">
        <f aca="false">IF(WEEKDAY(AJ$3,2)&gt;5,0,SUMPRODUCT(('Assignment Calc'!$D$5:$D$132=$A5)*('Assignment Calc'!$H$5:$H$132&lt;&gt;"")*('Assignment Calc'!$H$5:$H$132&lt;=AJ$3)*('Assignment Calc'!$I$5:$I$132&gt;=AJ$3)*'Assignment Calc'!$K$5:$K$132*'Assignment Calc'!$L$5:$L$132))</f>
        <v>4.5</v>
      </c>
      <c r="AK5" s="26" t="n">
        <f aca="false">IF(WEEKDAY(AK$3,2)&gt;5,0,SUMPRODUCT(('Assignment Calc'!$D$5:$D$132=$A5)*('Assignment Calc'!$H$5:$H$132&lt;&gt;"")*('Assignment Calc'!$H$5:$H$132&lt;=AK$3)*('Assignment Calc'!$I$5:$I$132&gt;=AK$3)*'Assignment Calc'!$K$5:$K$132*'Assignment Calc'!$L$5:$L$132))</f>
        <v>4.5</v>
      </c>
      <c r="AL5" s="26" t="n">
        <f aca="false">IF(WEEKDAY(AL$3,2)&gt;5,0,SUMPRODUCT(('Assignment Calc'!$D$5:$D$132=$A5)*('Assignment Calc'!$H$5:$H$132&lt;&gt;"")*('Assignment Calc'!$H$5:$H$132&lt;=AL$3)*('Assignment Calc'!$I$5:$I$132&gt;=AL$3)*'Assignment Calc'!$K$5:$K$132*'Assignment Calc'!$L$5:$L$132))</f>
        <v>4.5</v>
      </c>
      <c r="AM5" s="26" t="n">
        <f aca="false">IF(WEEKDAY(AM$3,2)&gt;5,0,SUMPRODUCT(('Assignment Calc'!$D$5:$D$132=$A5)*('Assignment Calc'!$H$5:$H$132&lt;&gt;"")*('Assignment Calc'!$H$5:$H$132&lt;=AM$3)*('Assignment Calc'!$I$5:$I$132&gt;=AM$3)*'Assignment Calc'!$K$5:$K$132*'Assignment Calc'!$L$5:$L$132))</f>
        <v>4.5</v>
      </c>
      <c r="AN5" s="26" t="n">
        <f aca="false">IF(WEEKDAY(AN$3,2)&gt;5,0,SUMPRODUCT(('Assignment Calc'!$D$5:$D$132=$A5)*('Assignment Calc'!$H$5:$H$132&lt;&gt;"")*('Assignment Calc'!$H$5:$H$132&lt;=AN$3)*('Assignment Calc'!$I$5:$I$132&gt;=AN$3)*'Assignment Calc'!$K$5:$K$132*'Assignment Calc'!$L$5:$L$132))</f>
        <v>0</v>
      </c>
      <c r="AO5" s="26" t="n">
        <f aca="false">IF(WEEKDAY(AO$3,2)&gt;5,0,SUMPRODUCT(('Assignment Calc'!$D$5:$D$132=$A5)*('Assignment Calc'!$H$5:$H$132&lt;&gt;"")*('Assignment Calc'!$H$5:$H$132&lt;=AO$3)*('Assignment Calc'!$I$5:$I$132&gt;=AO$3)*'Assignment Calc'!$K$5:$K$132*'Assignment Calc'!$L$5:$L$132))</f>
        <v>0</v>
      </c>
      <c r="AP5" s="26" t="n">
        <f aca="false">IF(WEEKDAY(AP$3,2)&gt;5,0,SUMPRODUCT(('Assignment Calc'!$D$5:$D$132=$A5)*('Assignment Calc'!$H$5:$H$132&lt;&gt;"")*('Assignment Calc'!$H$5:$H$132&lt;=AP$3)*('Assignment Calc'!$I$5:$I$132&gt;=AP$3)*'Assignment Calc'!$K$5:$K$132*'Assignment Calc'!$L$5:$L$132))</f>
        <v>0</v>
      </c>
      <c r="AQ5" s="26" t="n">
        <f aca="false">IF(WEEKDAY(AQ$3,2)&gt;5,0,SUMPRODUCT(('Assignment Calc'!$D$5:$D$132=$A5)*('Assignment Calc'!$H$5:$H$132&lt;&gt;"")*('Assignment Calc'!$H$5:$H$132&lt;=AQ$3)*('Assignment Calc'!$I$5:$I$132&gt;=AQ$3)*'Assignment Calc'!$K$5:$K$132*'Assignment Calc'!$L$5:$L$132))</f>
        <v>0</v>
      </c>
      <c r="AR5" s="26" t="n">
        <f aca="false">IF(WEEKDAY(AR$3,2)&gt;5,0,SUMPRODUCT(('Assignment Calc'!$D$5:$D$132=$A5)*('Assignment Calc'!$H$5:$H$132&lt;&gt;"")*('Assignment Calc'!$H$5:$H$132&lt;=AR$3)*('Assignment Calc'!$I$5:$I$132&gt;=AR$3)*'Assignment Calc'!$K$5:$K$132*'Assignment Calc'!$L$5:$L$132))</f>
        <v>0</v>
      </c>
      <c r="AS5" s="26" t="n">
        <f aca="false">IF(WEEKDAY(AS$3,2)&gt;5,0,SUMPRODUCT(('Assignment Calc'!$D$5:$D$132=$A5)*('Assignment Calc'!$H$5:$H$132&lt;&gt;"")*('Assignment Calc'!$H$5:$H$132&lt;=AS$3)*('Assignment Calc'!$I$5:$I$132&gt;=AS$3)*'Assignment Calc'!$K$5:$K$132*'Assignment Calc'!$L$5:$L$132))</f>
        <v>0</v>
      </c>
      <c r="AT5" s="26" t="n">
        <f aca="false">IF(WEEKDAY(AT$3,2)&gt;5,0,SUMPRODUCT(('Assignment Calc'!$D$5:$D$132=$A5)*('Assignment Calc'!$H$5:$H$132&lt;&gt;"")*('Assignment Calc'!$H$5:$H$132&lt;=AT$3)*('Assignment Calc'!$I$5:$I$132&gt;=AT$3)*'Assignment Calc'!$K$5:$K$132*'Assignment Calc'!$L$5:$L$132))</f>
        <v>0</v>
      </c>
      <c r="AU5" s="26" t="n">
        <f aca="false">IF(WEEKDAY(AU$3,2)&gt;5,0,SUMPRODUCT(('Assignment Calc'!$D$5:$D$132=$A5)*('Assignment Calc'!$H$5:$H$132&lt;&gt;"")*('Assignment Calc'!$H$5:$H$132&lt;=AU$3)*('Assignment Calc'!$I$5:$I$132&gt;=AU$3)*'Assignment Calc'!$K$5:$K$132*'Assignment Calc'!$L$5:$L$132))</f>
        <v>0</v>
      </c>
      <c r="AV5" s="26" t="n">
        <f aca="false">IF(WEEKDAY(AV$3,2)&gt;5,0,SUMPRODUCT(('Assignment Calc'!$D$5:$D$132=$A5)*('Assignment Calc'!$H$5:$H$132&lt;&gt;"")*('Assignment Calc'!$H$5:$H$132&lt;=AV$3)*('Assignment Calc'!$I$5:$I$132&gt;=AV$3)*'Assignment Calc'!$K$5:$K$132*'Assignment Calc'!$L$5:$L$132))</f>
        <v>0</v>
      </c>
      <c r="AW5" s="26" t="n">
        <f aca="false">IF(WEEKDAY(AW$3,2)&gt;5,0,SUMPRODUCT(('Assignment Calc'!$D$5:$D$132=$A5)*('Assignment Calc'!$H$5:$H$132&lt;&gt;"")*('Assignment Calc'!$H$5:$H$132&lt;=AW$3)*('Assignment Calc'!$I$5:$I$132&gt;=AW$3)*'Assignment Calc'!$K$5:$K$132*'Assignment Calc'!$L$5:$L$132))</f>
        <v>10.5</v>
      </c>
      <c r="AX5" s="26" t="n">
        <f aca="false">IF(WEEKDAY(AX$3,2)&gt;5,0,SUMPRODUCT(('Assignment Calc'!$D$5:$D$132=$A5)*('Assignment Calc'!$H$5:$H$132&lt;&gt;"")*('Assignment Calc'!$H$5:$H$132&lt;=AX$3)*('Assignment Calc'!$I$5:$I$132&gt;=AX$3)*'Assignment Calc'!$K$5:$K$132*'Assignment Calc'!$L$5:$L$132))</f>
        <v>10.5</v>
      </c>
      <c r="AY5" s="26" t="n">
        <f aca="false">IF(WEEKDAY(AY$3,2)&gt;5,0,SUMPRODUCT(('Assignment Calc'!$D$5:$D$132=$A5)*('Assignment Calc'!$H$5:$H$132&lt;&gt;"")*('Assignment Calc'!$H$5:$H$132&lt;=AY$3)*('Assignment Calc'!$I$5:$I$132&gt;=AY$3)*'Assignment Calc'!$K$5:$K$132*'Assignment Calc'!$L$5:$L$132))</f>
        <v>10.5</v>
      </c>
      <c r="AZ5" s="26" t="n">
        <f aca="false">IF(WEEKDAY(AZ$3,2)&gt;5,0,SUMPRODUCT(('Assignment Calc'!$D$5:$D$132=$A5)*('Assignment Calc'!$H$5:$H$132&lt;&gt;"")*('Assignment Calc'!$H$5:$H$132&lt;=AZ$3)*('Assignment Calc'!$I$5:$I$132&gt;=AZ$3)*'Assignment Calc'!$K$5:$K$132*'Assignment Calc'!$L$5:$L$132))</f>
        <v>10.5</v>
      </c>
      <c r="BA5" s="26" t="n">
        <f aca="false">IF(WEEKDAY(BA$3,2)&gt;5,0,SUMPRODUCT(('Assignment Calc'!$D$5:$D$132=$A5)*('Assignment Calc'!$H$5:$H$132&lt;&gt;"")*('Assignment Calc'!$H$5:$H$132&lt;=BA$3)*('Assignment Calc'!$I$5:$I$132&gt;=BA$3)*'Assignment Calc'!$K$5:$K$132*'Assignment Calc'!$L$5:$L$132))</f>
        <v>10.5</v>
      </c>
      <c r="BB5" s="26" t="n">
        <f aca="false">IF(WEEKDAY(BB$3,2)&gt;5,0,SUMPRODUCT(('Assignment Calc'!$D$5:$D$132=$A5)*('Assignment Calc'!$H$5:$H$132&lt;&gt;"")*('Assignment Calc'!$H$5:$H$132&lt;=BB$3)*('Assignment Calc'!$I$5:$I$132&gt;=BB$3)*'Assignment Calc'!$K$5:$K$132*'Assignment Calc'!$L$5:$L$132))</f>
        <v>0</v>
      </c>
      <c r="BC5" s="26" t="n">
        <f aca="false">IF(WEEKDAY(BC$3,2)&gt;5,0,SUMPRODUCT(('Assignment Calc'!$D$5:$D$132=$A5)*('Assignment Calc'!$H$5:$H$132&lt;&gt;"")*('Assignment Calc'!$H$5:$H$132&lt;=BC$3)*('Assignment Calc'!$I$5:$I$132&gt;=BC$3)*'Assignment Calc'!$K$5:$K$132*'Assignment Calc'!$L$5:$L$132))</f>
        <v>0</v>
      </c>
      <c r="BD5" s="26" t="n">
        <f aca="false">IF(WEEKDAY(BD$3,2)&gt;5,0,SUMPRODUCT(('Assignment Calc'!$D$5:$D$132=$A5)*('Assignment Calc'!$H$5:$H$132&lt;&gt;"")*('Assignment Calc'!$H$5:$H$132&lt;=BD$3)*('Assignment Calc'!$I$5:$I$132&gt;=BD$3)*'Assignment Calc'!$K$5:$K$132*'Assignment Calc'!$L$5:$L$132))</f>
        <v>9</v>
      </c>
      <c r="BE5" s="26" t="n">
        <f aca="false">IF(WEEKDAY(BE$3,2)&gt;5,0,SUMPRODUCT(('Assignment Calc'!$D$5:$D$132=$A5)*('Assignment Calc'!$H$5:$H$132&lt;&gt;"")*('Assignment Calc'!$H$5:$H$132&lt;=BE$3)*('Assignment Calc'!$I$5:$I$132&gt;=BE$3)*'Assignment Calc'!$K$5:$K$132*'Assignment Calc'!$L$5:$L$132))</f>
        <v>9</v>
      </c>
      <c r="BF5" s="26" t="n">
        <f aca="false">IF(WEEKDAY(BF$3,2)&gt;5,0,SUMPRODUCT(('Assignment Calc'!$D$5:$D$132=$A5)*('Assignment Calc'!$H$5:$H$132&lt;&gt;"")*('Assignment Calc'!$H$5:$H$132&lt;=BF$3)*('Assignment Calc'!$I$5:$I$132&gt;=BF$3)*'Assignment Calc'!$K$5:$K$132*'Assignment Calc'!$L$5:$L$132))</f>
        <v>9</v>
      </c>
      <c r="BG5" s="26" t="n">
        <f aca="false">IF(WEEKDAY(BG$3,2)&gt;5,0,SUMPRODUCT(('Assignment Calc'!$D$5:$D$132=$A5)*('Assignment Calc'!$H$5:$H$132&lt;&gt;"")*('Assignment Calc'!$H$5:$H$132&lt;=BG$3)*('Assignment Calc'!$I$5:$I$132&gt;=BG$3)*'Assignment Calc'!$K$5:$K$132*'Assignment Calc'!$L$5:$L$132))</f>
        <v>9</v>
      </c>
      <c r="BH5" s="26" t="n">
        <f aca="false">IF(WEEKDAY(BH$3,2)&gt;5,0,SUMPRODUCT(('Assignment Calc'!$D$5:$D$132=$A5)*('Assignment Calc'!$H$5:$H$132&lt;&gt;"")*('Assignment Calc'!$H$5:$H$132&lt;=BH$3)*('Assignment Calc'!$I$5:$I$132&gt;=BH$3)*'Assignment Calc'!$K$5:$K$132*'Assignment Calc'!$L$5:$L$132))</f>
        <v>9</v>
      </c>
      <c r="BI5" s="26" t="n">
        <f aca="false">IF(WEEKDAY(BI$3,2)&gt;5,0,SUMPRODUCT(('Assignment Calc'!$D$5:$D$132=$A5)*('Assignment Calc'!$H$5:$H$132&lt;&gt;"")*('Assignment Calc'!$H$5:$H$132&lt;=BI$3)*('Assignment Calc'!$I$5:$I$132&gt;=BI$3)*'Assignment Calc'!$K$5:$K$132*'Assignment Calc'!$L$5:$L$132))</f>
        <v>0</v>
      </c>
      <c r="BJ5" s="26" t="n">
        <f aca="false">IF(WEEKDAY(BJ$3,2)&gt;5,0,SUMPRODUCT(('Assignment Calc'!$D$5:$D$132=$A5)*('Assignment Calc'!$H$5:$H$132&lt;&gt;"")*('Assignment Calc'!$H$5:$H$132&lt;=BJ$3)*('Assignment Calc'!$I$5:$I$132&gt;=BJ$3)*'Assignment Calc'!$K$5:$K$132*'Assignment Calc'!$L$5:$L$132))</f>
        <v>0</v>
      </c>
      <c r="BK5" s="26" t="n">
        <f aca="false">IF(WEEKDAY(BK$3,2)&gt;5,0,SUMPRODUCT(('Assignment Calc'!$D$5:$D$132=$A5)*('Assignment Calc'!$H$5:$H$132&lt;&gt;"")*('Assignment Calc'!$H$5:$H$132&lt;=BK$3)*('Assignment Calc'!$I$5:$I$132&gt;=BK$3)*'Assignment Calc'!$K$5:$K$132*'Assignment Calc'!$L$5:$L$132))</f>
        <v>0</v>
      </c>
      <c r="BL5" s="26" t="n">
        <f aca="false">IF(WEEKDAY(BL$3,2)&gt;5,0,SUMPRODUCT(('Assignment Calc'!$D$5:$D$132=$A5)*('Assignment Calc'!$H$5:$H$132&lt;&gt;"")*('Assignment Calc'!$H$5:$H$132&lt;=BL$3)*('Assignment Calc'!$I$5:$I$132&gt;=BL$3)*'Assignment Calc'!$K$5:$K$132*'Assignment Calc'!$L$5:$L$132))</f>
        <v>2.25</v>
      </c>
      <c r="BM5" s="26" t="n">
        <f aca="false">IF(WEEKDAY(BM$3,2)&gt;5,0,SUMPRODUCT(('Assignment Calc'!$D$5:$D$132=$A5)*('Assignment Calc'!$H$5:$H$132&lt;&gt;"")*('Assignment Calc'!$H$5:$H$132&lt;=BM$3)*('Assignment Calc'!$I$5:$I$132&gt;=BM$3)*'Assignment Calc'!$K$5:$K$132*'Assignment Calc'!$L$5:$L$132))</f>
        <v>2.25</v>
      </c>
      <c r="BN5" s="26" t="n">
        <f aca="false">IF(WEEKDAY(BN$3,2)&gt;5,0,SUMPRODUCT(('Assignment Calc'!$D$5:$D$132=$A5)*('Assignment Calc'!$H$5:$H$132&lt;&gt;"")*('Assignment Calc'!$H$5:$H$132&lt;=BN$3)*('Assignment Calc'!$I$5:$I$132&gt;=BN$3)*'Assignment Calc'!$K$5:$K$132*'Assignment Calc'!$L$5:$L$132))</f>
        <v>2.25</v>
      </c>
      <c r="BO5" s="26" t="n">
        <f aca="false">IF(WEEKDAY(BO$3,2)&gt;5,0,SUMPRODUCT(('Assignment Calc'!$D$5:$D$132=$A5)*('Assignment Calc'!$H$5:$H$132&lt;&gt;"")*('Assignment Calc'!$H$5:$H$132&lt;=BO$3)*('Assignment Calc'!$I$5:$I$132&gt;=BO$3)*'Assignment Calc'!$K$5:$K$132*'Assignment Calc'!$L$5:$L$132))</f>
        <v>2.25</v>
      </c>
      <c r="BP5" s="26" t="n">
        <f aca="false">IF(WEEKDAY(BP$3,2)&gt;5,0,SUMPRODUCT(('Assignment Calc'!$D$5:$D$132=$A5)*('Assignment Calc'!$H$5:$H$132&lt;&gt;"")*('Assignment Calc'!$H$5:$H$132&lt;=BP$3)*('Assignment Calc'!$I$5:$I$132&gt;=BP$3)*'Assignment Calc'!$K$5:$K$132*'Assignment Calc'!$L$5:$L$132))</f>
        <v>0</v>
      </c>
      <c r="BQ5" s="26" t="n">
        <f aca="false">IF(WEEKDAY(BQ$3,2)&gt;5,0,SUMPRODUCT(('Assignment Calc'!$D$5:$D$132=$A5)*('Assignment Calc'!$H$5:$H$132&lt;&gt;"")*('Assignment Calc'!$H$5:$H$132&lt;=BQ$3)*('Assignment Calc'!$I$5:$I$132&gt;=BQ$3)*'Assignment Calc'!$K$5:$K$132*'Assignment Calc'!$L$5:$L$132))</f>
        <v>0</v>
      </c>
      <c r="BR5" s="26" t="n">
        <f aca="false">IF(WEEKDAY(BR$3,2)&gt;5,0,SUMPRODUCT(('Assignment Calc'!$D$5:$D$132=$A5)*('Assignment Calc'!$H$5:$H$132&lt;&gt;"")*('Assignment Calc'!$H$5:$H$132&lt;=BR$3)*('Assignment Calc'!$I$5:$I$132&gt;=BR$3)*'Assignment Calc'!$K$5:$K$132*'Assignment Calc'!$L$5:$L$132))</f>
        <v>0</v>
      </c>
      <c r="BS5" s="26" t="n">
        <f aca="false">IF(WEEKDAY(BS$3,2)&gt;5,0,SUMPRODUCT(('Assignment Calc'!$D$5:$D$132=$A5)*('Assignment Calc'!$H$5:$H$132&lt;&gt;"")*('Assignment Calc'!$H$5:$H$132&lt;=BS$3)*('Assignment Calc'!$I$5:$I$132&gt;=BS$3)*'Assignment Calc'!$K$5:$K$132*'Assignment Calc'!$L$5:$L$132))</f>
        <v>0</v>
      </c>
      <c r="BT5" s="26" t="n">
        <f aca="false">IF(WEEKDAY(BT$3,2)&gt;5,0,SUMPRODUCT(('Assignment Calc'!$D$5:$D$132=$A5)*('Assignment Calc'!$H$5:$H$132&lt;&gt;"")*('Assignment Calc'!$H$5:$H$132&lt;=BT$3)*('Assignment Calc'!$I$5:$I$132&gt;=BT$3)*'Assignment Calc'!$K$5:$K$132*'Assignment Calc'!$L$5:$L$132))</f>
        <v>0</v>
      </c>
      <c r="BU5" s="26" t="n">
        <f aca="false">IF(WEEKDAY(BU$3,2)&gt;5,0,SUMPRODUCT(('Assignment Calc'!$D$5:$D$132=$A5)*('Assignment Calc'!$H$5:$H$132&lt;&gt;"")*('Assignment Calc'!$H$5:$H$132&lt;=BU$3)*('Assignment Calc'!$I$5:$I$132&gt;=BU$3)*'Assignment Calc'!$K$5:$K$132*'Assignment Calc'!$L$5:$L$132))</f>
        <v>0</v>
      </c>
      <c r="BV5" s="26" t="n">
        <f aca="false">IF(WEEKDAY(BV$3,2)&gt;5,0,SUMPRODUCT(('Assignment Calc'!$D$5:$D$132=$A5)*('Assignment Calc'!$H$5:$H$132&lt;&gt;"")*('Assignment Calc'!$H$5:$H$132&lt;=BV$3)*('Assignment Calc'!$I$5:$I$132&gt;=BV$3)*'Assignment Calc'!$K$5:$K$132*'Assignment Calc'!$L$5:$L$132))</f>
        <v>0</v>
      </c>
      <c r="BW5" s="26" t="n">
        <f aca="false">IF(WEEKDAY(BW$3,2)&gt;5,0,SUMPRODUCT(('Assignment Calc'!$D$5:$D$132=$A5)*('Assignment Calc'!$H$5:$H$132&lt;&gt;"")*('Assignment Calc'!$H$5:$H$132&lt;=BW$3)*('Assignment Calc'!$I$5:$I$132&gt;=BW$3)*'Assignment Calc'!$K$5:$K$132*'Assignment Calc'!$L$5:$L$132))</f>
        <v>0</v>
      </c>
      <c r="BX5" s="26" t="n">
        <f aca="false">IF(WEEKDAY(BX$3,2)&gt;5,0,SUMPRODUCT(('Assignment Calc'!$D$5:$D$132=$A5)*('Assignment Calc'!$H$5:$H$132&lt;&gt;"")*('Assignment Calc'!$H$5:$H$132&lt;=BX$3)*('Assignment Calc'!$I$5:$I$132&gt;=BX$3)*'Assignment Calc'!$K$5:$K$132*'Assignment Calc'!$L$5:$L$132))</f>
        <v>0</v>
      </c>
      <c r="BY5" s="26" t="n">
        <f aca="false">IF(WEEKDAY(BY$3,2)&gt;5,0,SUMPRODUCT(('Assignment Calc'!$D$5:$D$132=$A5)*('Assignment Calc'!$H$5:$H$132&lt;&gt;"")*('Assignment Calc'!$H$5:$H$132&lt;=BY$3)*('Assignment Calc'!$I$5:$I$132&gt;=BY$3)*'Assignment Calc'!$K$5:$K$132*'Assignment Calc'!$L$5:$L$132))</f>
        <v>9.5</v>
      </c>
      <c r="BZ5" s="26" t="n">
        <f aca="false">IF(WEEKDAY(BZ$3,2)&gt;5,0,SUMPRODUCT(('Assignment Calc'!$D$5:$D$132=$A5)*('Assignment Calc'!$H$5:$H$132&lt;&gt;"")*('Assignment Calc'!$H$5:$H$132&lt;=BZ$3)*('Assignment Calc'!$I$5:$I$132&gt;=BZ$3)*'Assignment Calc'!$K$5:$K$132*'Assignment Calc'!$L$5:$L$132))</f>
        <v>9.5</v>
      </c>
      <c r="CA5" s="26" t="n">
        <f aca="false">IF(WEEKDAY(CA$3,2)&gt;5,0,SUMPRODUCT(('Assignment Calc'!$D$5:$D$132=$A5)*('Assignment Calc'!$H$5:$H$132&lt;&gt;"")*('Assignment Calc'!$H$5:$H$132&lt;=CA$3)*('Assignment Calc'!$I$5:$I$132&gt;=CA$3)*'Assignment Calc'!$K$5:$K$132*'Assignment Calc'!$L$5:$L$132))</f>
        <v>9.5</v>
      </c>
      <c r="CB5" s="26" t="n">
        <f aca="false">IF(WEEKDAY(CB$3,2)&gt;5,0,SUMPRODUCT(('Assignment Calc'!$D$5:$D$132=$A5)*('Assignment Calc'!$H$5:$H$132&lt;&gt;"")*('Assignment Calc'!$H$5:$H$132&lt;=CB$3)*('Assignment Calc'!$I$5:$I$132&gt;=CB$3)*'Assignment Calc'!$K$5:$K$132*'Assignment Calc'!$L$5:$L$132))</f>
        <v>9.5</v>
      </c>
      <c r="CC5" s="26" t="n">
        <f aca="false">IF(WEEKDAY(CC$3,2)&gt;5,0,SUMPRODUCT(('Assignment Calc'!$D$5:$D$132=$A5)*('Assignment Calc'!$H$5:$H$132&lt;&gt;"")*('Assignment Calc'!$H$5:$H$132&lt;=CC$3)*('Assignment Calc'!$I$5:$I$132&gt;=CC$3)*'Assignment Calc'!$K$5:$K$132*'Assignment Calc'!$L$5:$L$132))</f>
        <v>9.5</v>
      </c>
      <c r="CD5" s="26" t="n">
        <f aca="false">IF(WEEKDAY(CD$3,2)&gt;5,0,SUMPRODUCT(('Assignment Calc'!$D$5:$D$132=$A5)*('Assignment Calc'!$H$5:$H$132&lt;&gt;"")*('Assignment Calc'!$H$5:$H$132&lt;=CD$3)*('Assignment Calc'!$I$5:$I$132&gt;=CD$3)*'Assignment Calc'!$K$5:$K$132*'Assignment Calc'!$L$5:$L$132))</f>
        <v>0</v>
      </c>
      <c r="CE5" s="26" t="n">
        <f aca="false">IF(WEEKDAY(CE$3,2)&gt;5,0,SUMPRODUCT(('Assignment Calc'!$D$5:$D$132=$A5)*('Assignment Calc'!$H$5:$H$132&lt;&gt;"")*('Assignment Calc'!$H$5:$H$132&lt;=CE$3)*('Assignment Calc'!$I$5:$I$132&gt;=CE$3)*'Assignment Calc'!$K$5:$K$132*'Assignment Calc'!$L$5:$L$132))</f>
        <v>0</v>
      </c>
      <c r="CF5" s="26" t="n">
        <f aca="false">IF(WEEKDAY(CF$3,2)&gt;5,0,SUMPRODUCT(('Assignment Calc'!$D$5:$D$132=$A5)*('Assignment Calc'!$H$5:$H$132&lt;&gt;"")*('Assignment Calc'!$H$5:$H$132&lt;=CF$3)*('Assignment Calc'!$I$5:$I$132&gt;=CF$3)*'Assignment Calc'!$K$5:$K$132*'Assignment Calc'!$L$5:$L$132))</f>
        <v>9</v>
      </c>
      <c r="CG5" s="26" t="n">
        <f aca="false">IF(WEEKDAY(CG$3,2)&gt;5,0,SUMPRODUCT(('Assignment Calc'!$D$5:$D$132=$A5)*('Assignment Calc'!$H$5:$H$132&lt;&gt;"")*('Assignment Calc'!$H$5:$H$132&lt;=CG$3)*('Assignment Calc'!$I$5:$I$132&gt;=CG$3)*'Assignment Calc'!$K$5:$K$132*'Assignment Calc'!$L$5:$L$132))</f>
        <v>9</v>
      </c>
      <c r="CH5" s="26" t="n">
        <f aca="false">IF(WEEKDAY(CH$3,2)&gt;5,0,SUMPRODUCT(('Assignment Calc'!$D$5:$D$132=$A5)*('Assignment Calc'!$H$5:$H$132&lt;&gt;"")*('Assignment Calc'!$H$5:$H$132&lt;=CH$3)*('Assignment Calc'!$I$5:$I$132&gt;=CH$3)*'Assignment Calc'!$K$5:$K$132*'Assignment Calc'!$L$5:$L$132))</f>
        <v>9</v>
      </c>
      <c r="CI5" s="26" t="n">
        <f aca="false">IF(WEEKDAY(CI$3,2)&gt;5,0,SUMPRODUCT(('Assignment Calc'!$D$5:$D$132=$A5)*('Assignment Calc'!$H$5:$H$132&lt;&gt;"")*('Assignment Calc'!$H$5:$H$132&lt;=CI$3)*('Assignment Calc'!$I$5:$I$132&gt;=CI$3)*'Assignment Calc'!$K$5:$K$132*'Assignment Calc'!$L$5:$L$132))</f>
        <v>9</v>
      </c>
      <c r="CJ5" s="26" t="n">
        <f aca="false">IF(WEEKDAY(CJ$3,2)&gt;5,0,SUMPRODUCT(('Assignment Calc'!$D$5:$D$132=$A5)*('Assignment Calc'!$H$5:$H$132&lt;&gt;"")*('Assignment Calc'!$H$5:$H$132&lt;=CJ$3)*('Assignment Calc'!$I$5:$I$132&gt;=CJ$3)*'Assignment Calc'!$K$5:$K$132*'Assignment Calc'!$L$5:$L$132))</f>
        <v>9</v>
      </c>
      <c r="CK5" s="26" t="n">
        <f aca="false">IF(WEEKDAY(CK$3,2)&gt;5,0,SUMPRODUCT(('Assignment Calc'!$D$5:$D$132=$A5)*('Assignment Calc'!$H$5:$H$132&lt;&gt;"")*('Assignment Calc'!$H$5:$H$132&lt;=CK$3)*('Assignment Calc'!$I$5:$I$132&gt;=CK$3)*'Assignment Calc'!$K$5:$K$132*'Assignment Calc'!$L$5:$L$132))</f>
        <v>0</v>
      </c>
      <c r="CL5" s="26" t="n">
        <f aca="false">IF(WEEKDAY(CL$3,2)&gt;5,0,SUMPRODUCT(('Assignment Calc'!$D$5:$D$132=$A5)*('Assignment Calc'!$H$5:$H$132&lt;&gt;"")*('Assignment Calc'!$H$5:$H$132&lt;=CL$3)*('Assignment Calc'!$I$5:$I$132&gt;=CL$3)*'Assignment Calc'!$K$5:$K$132*'Assignment Calc'!$L$5:$L$132))</f>
        <v>0</v>
      </c>
      <c r="CM5" s="26" t="n">
        <f aca="false">IF(WEEKDAY(CM$3,2)&gt;5,0,SUMPRODUCT(('Assignment Calc'!$D$5:$D$132=$A5)*('Assignment Calc'!$H$5:$H$132&lt;&gt;"")*('Assignment Calc'!$H$5:$H$132&lt;=CM$3)*('Assignment Calc'!$I$5:$I$132&gt;=CM$3)*'Assignment Calc'!$K$5:$K$132*'Assignment Calc'!$L$5:$L$132))</f>
        <v>8.5</v>
      </c>
      <c r="CN5" s="26" t="n">
        <f aca="false">IF(WEEKDAY(CN$3,2)&gt;5,0,SUMPRODUCT(('Assignment Calc'!$D$5:$D$132=$A5)*('Assignment Calc'!$H$5:$H$132&lt;&gt;"")*('Assignment Calc'!$H$5:$H$132&lt;=CN$3)*('Assignment Calc'!$I$5:$I$132&gt;=CN$3)*'Assignment Calc'!$K$5:$K$132*'Assignment Calc'!$L$5:$L$132))</f>
        <v>8.5</v>
      </c>
      <c r="CO5" s="26" t="n">
        <f aca="false">IF(WEEKDAY(CO$3,2)&gt;5,0,SUMPRODUCT(('Assignment Calc'!$D$5:$D$132=$A5)*('Assignment Calc'!$H$5:$H$132&lt;&gt;"")*('Assignment Calc'!$H$5:$H$132&lt;=CO$3)*('Assignment Calc'!$I$5:$I$132&gt;=CO$3)*'Assignment Calc'!$K$5:$K$132*'Assignment Calc'!$L$5:$L$132))</f>
        <v>8.5</v>
      </c>
      <c r="CP5" s="26" t="n">
        <f aca="false">IF(WEEKDAY(CP$3,2)&gt;5,0,SUMPRODUCT(('Assignment Calc'!$D$5:$D$132=$A5)*('Assignment Calc'!$H$5:$H$132&lt;&gt;"")*('Assignment Calc'!$H$5:$H$132&lt;=CP$3)*('Assignment Calc'!$I$5:$I$132&gt;=CP$3)*'Assignment Calc'!$K$5:$K$132*'Assignment Calc'!$L$5:$L$132))</f>
        <v>8.5</v>
      </c>
    </row>
    <row r="6" customFormat="false" ht="15" hidden="false" customHeight="true" outlineLevel="0" collapsed="false">
      <c r="A6" s="2" t="s">
        <v>117</v>
      </c>
      <c r="B6" s="23" t="n">
        <f aca="false">SUM(C6:CP6)</f>
        <v>498.75</v>
      </c>
      <c r="C6" s="26" t="n">
        <f aca="false">IF(WEEKDAY(C$3,2)&gt;5,0,SUMPRODUCT(('Assignment Calc'!$D$5:$D$132=$A6)*('Assignment Calc'!$H$5:$H$132&lt;&gt;"")*('Assignment Calc'!$H$5:$H$132&lt;=C$3)*('Assignment Calc'!$I$5:$I$132&gt;=C$3)*'Assignment Calc'!$K$5:$K$132*'Assignment Calc'!$L$5:$L$132))</f>
        <v>4.5</v>
      </c>
      <c r="D6" s="26" t="n">
        <f aca="false">IF(WEEKDAY(D$3,2)&gt;5,0,SUMPRODUCT(('Assignment Calc'!$D$5:$D$132=$A6)*('Assignment Calc'!$H$5:$H$132&lt;&gt;"")*('Assignment Calc'!$H$5:$H$132&lt;=D$3)*('Assignment Calc'!$I$5:$I$132&gt;=D$3)*'Assignment Calc'!$K$5:$K$132*'Assignment Calc'!$L$5:$L$132))</f>
        <v>4.5</v>
      </c>
      <c r="E6" s="26" t="n">
        <f aca="false">IF(WEEKDAY(E$3,2)&gt;5,0,SUMPRODUCT(('Assignment Calc'!$D$5:$D$132=$A6)*('Assignment Calc'!$H$5:$H$132&lt;&gt;"")*('Assignment Calc'!$H$5:$H$132&lt;=E$3)*('Assignment Calc'!$I$5:$I$132&gt;=E$3)*'Assignment Calc'!$K$5:$K$132*'Assignment Calc'!$L$5:$L$132))</f>
        <v>0</v>
      </c>
      <c r="F6" s="26" t="n">
        <f aca="false">IF(WEEKDAY(F$3,2)&gt;5,0,SUMPRODUCT(('Assignment Calc'!$D$5:$D$132=$A6)*('Assignment Calc'!$H$5:$H$132&lt;&gt;"")*('Assignment Calc'!$H$5:$H$132&lt;=F$3)*('Assignment Calc'!$I$5:$I$132&gt;=F$3)*'Assignment Calc'!$K$5:$K$132*'Assignment Calc'!$L$5:$L$132))</f>
        <v>0</v>
      </c>
      <c r="G6" s="26" t="n">
        <f aca="false">IF(WEEKDAY(G$3,2)&gt;5,0,SUMPRODUCT(('Assignment Calc'!$D$5:$D$132=$A6)*('Assignment Calc'!$H$5:$H$132&lt;&gt;"")*('Assignment Calc'!$H$5:$H$132&lt;=G$3)*('Assignment Calc'!$I$5:$I$132&gt;=G$3)*'Assignment Calc'!$K$5:$K$132*'Assignment Calc'!$L$5:$L$132))</f>
        <v>7.5</v>
      </c>
      <c r="H6" s="26" t="n">
        <f aca="false">IF(WEEKDAY(H$3,2)&gt;5,0,SUMPRODUCT(('Assignment Calc'!$D$5:$D$132=$A6)*('Assignment Calc'!$H$5:$H$132&lt;&gt;"")*('Assignment Calc'!$H$5:$H$132&lt;=H$3)*('Assignment Calc'!$I$5:$I$132&gt;=H$3)*'Assignment Calc'!$K$5:$K$132*'Assignment Calc'!$L$5:$L$132))</f>
        <v>7.5</v>
      </c>
      <c r="I6" s="26" t="n">
        <f aca="false">IF(WEEKDAY(I$3,2)&gt;5,0,SUMPRODUCT(('Assignment Calc'!$D$5:$D$132=$A6)*('Assignment Calc'!$H$5:$H$132&lt;&gt;"")*('Assignment Calc'!$H$5:$H$132&lt;=I$3)*('Assignment Calc'!$I$5:$I$132&gt;=I$3)*'Assignment Calc'!$K$5:$K$132*'Assignment Calc'!$L$5:$L$132))</f>
        <v>7.5</v>
      </c>
      <c r="J6" s="26" t="n">
        <f aca="false">IF(WEEKDAY(J$3,2)&gt;5,0,SUMPRODUCT(('Assignment Calc'!$D$5:$D$132=$A6)*('Assignment Calc'!$H$5:$H$132&lt;&gt;"")*('Assignment Calc'!$H$5:$H$132&lt;=J$3)*('Assignment Calc'!$I$5:$I$132&gt;=J$3)*'Assignment Calc'!$K$5:$K$132*'Assignment Calc'!$L$5:$L$132))</f>
        <v>7.5</v>
      </c>
      <c r="K6" s="26" t="n">
        <f aca="false">IF(WEEKDAY(K$3,2)&gt;5,0,SUMPRODUCT(('Assignment Calc'!$D$5:$D$132=$A6)*('Assignment Calc'!$H$5:$H$132&lt;&gt;"")*('Assignment Calc'!$H$5:$H$132&lt;=K$3)*('Assignment Calc'!$I$5:$I$132&gt;=K$3)*'Assignment Calc'!$K$5:$K$132*'Assignment Calc'!$L$5:$L$132))</f>
        <v>7.5</v>
      </c>
      <c r="L6" s="26" t="n">
        <f aca="false">IF(WEEKDAY(L$3,2)&gt;5,0,SUMPRODUCT(('Assignment Calc'!$D$5:$D$132=$A6)*('Assignment Calc'!$H$5:$H$132&lt;&gt;"")*('Assignment Calc'!$H$5:$H$132&lt;=L$3)*('Assignment Calc'!$I$5:$I$132&gt;=L$3)*'Assignment Calc'!$K$5:$K$132*'Assignment Calc'!$L$5:$L$132))</f>
        <v>0</v>
      </c>
      <c r="M6" s="26" t="n">
        <f aca="false">IF(WEEKDAY(M$3,2)&gt;5,0,SUMPRODUCT(('Assignment Calc'!$D$5:$D$132=$A6)*('Assignment Calc'!$H$5:$H$132&lt;&gt;"")*('Assignment Calc'!$H$5:$H$132&lt;=M$3)*('Assignment Calc'!$I$5:$I$132&gt;=M$3)*'Assignment Calc'!$K$5:$K$132*'Assignment Calc'!$L$5:$L$132))</f>
        <v>0</v>
      </c>
      <c r="N6" s="26" t="n">
        <f aca="false">IF(WEEKDAY(N$3,2)&gt;5,0,SUMPRODUCT(('Assignment Calc'!$D$5:$D$132=$A6)*('Assignment Calc'!$H$5:$H$132&lt;&gt;"")*('Assignment Calc'!$H$5:$H$132&lt;=N$3)*('Assignment Calc'!$I$5:$I$132&gt;=N$3)*'Assignment Calc'!$K$5:$K$132*'Assignment Calc'!$L$5:$L$132))</f>
        <v>4.5</v>
      </c>
      <c r="O6" s="26" t="n">
        <f aca="false">IF(WEEKDAY(O$3,2)&gt;5,0,SUMPRODUCT(('Assignment Calc'!$D$5:$D$132=$A6)*('Assignment Calc'!$H$5:$H$132&lt;&gt;"")*('Assignment Calc'!$H$5:$H$132&lt;=O$3)*('Assignment Calc'!$I$5:$I$132&gt;=O$3)*'Assignment Calc'!$K$5:$K$132*'Assignment Calc'!$L$5:$L$132))</f>
        <v>4.5</v>
      </c>
      <c r="P6" s="26" t="n">
        <f aca="false">IF(WEEKDAY(P$3,2)&gt;5,0,SUMPRODUCT(('Assignment Calc'!$D$5:$D$132=$A6)*('Assignment Calc'!$H$5:$H$132&lt;&gt;"")*('Assignment Calc'!$H$5:$H$132&lt;=P$3)*('Assignment Calc'!$I$5:$I$132&gt;=P$3)*'Assignment Calc'!$K$5:$K$132*'Assignment Calc'!$L$5:$L$132))</f>
        <v>4.5</v>
      </c>
      <c r="Q6" s="26" t="n">
        <f aca="false">IF(WEEKDAY(Q$3,2)&gt;5,0,SUMPRODUCT(('Assignment Calc'!$D$5:$D$132=$A6)*('Assignment Calc'!$H$5:$H$132&lt;&gt;"")*('Assignment Calc'!$H$5:$H$132&lt;=Q$3)*('Assignment Calc'!$I$5:$I$132&gt;=Q$3)*'Assignment Calc'!$K$5:$K$132*'Assignment Calc'!$L$5:$L$132))</f>
        <v>4.5</v>
      </c>
      <c r="R6" s="26" t="n">
        <f aca="false">IF(WEEKDAY(R$3,2)&gt;5,0,SUMPRODUCT(('Assignment Calc'!$D$5:$D$132=$A6)*('Assignment Calc'!$H$5:$H$132&lt;&gt;"")*('Assignment Calc'!$H$5:$H$132&lt;=R$3)*('Assignment Calc'!$I$5:$I$132&gt;=R$3)*'Assignment Calc'!$K$5:$K$132*'Assignment Calc'!$L$5:$L$132))</f>
        <v>4.5</v>
      </c>
      <c r="S6" s="26" t="n">
        <f aca="false">IF(WEEKDAY(S$3,2)&gt;5,0,SUMPRODUCT(('Assignment Calc'!$D$5:$D$132=$A6)*('Assignment Calc'!$H$5:$H$132&lt;&gt;"")*('Assignment Calc'!$H$5:$H$132&lt;=S$3)*('Assignment Calc'!$I$5:$I$132&gt;=S$3)*'Assignment Calc'!$K$5:$K$132*'Assignment Calc'!$L$5:$L$132))</f>
        <v>0</v>
      </c>
      <c r="T6" s="26" t="n">
        <f aca="false">IF(WEEKDAY(T$3,2)&gt;5,0,SUMPRODUCT(('Assignment Calc'!$D$5:$D$132=$A6)*('Assignment Calc'!$H$5:$H$132&lt;&gt;"")*('Assignment Calc'!$H$5:$H$132&lt;=T$3)*('Assignment Calc'!$I$5:$I$132&gt;=T$3)*'Assignment Calc'!$K$5:$K$132*'Assignment Calc'!$L$5:$L$132))</f>
        <v>0</v>
      </c>
      <c r="U6" s="26" t="n">
        <f aca="false">IF(WEEKDAY(U$3,2)&gt;5,0,SUMPRODUCT(('Assignment Calc'!$D$5:$D$132=$A6)*('Assignment Calc'!$H$5:$H$132&lt;&gt;"")*('Assignment Calc'!$H$5:$H$132&lt;=U$3)*('Assignment Calc'!$I$5:$I$132&gt;=U$3)*'Assignment Calc'!$K$5:$K$132*'Assignment Calc'!$L$5:$L$132))</f>
        <v>16.5</v>
      </c>
      <c r="V6" s="26" t="n">
        <f aca="false">IF(WEEKDAY(V$3,2)&gt;5,0,SUMPRODUCT(('Assignment Calc'!$D$5:$D$132=$A6)*('Assignment Calc'!$H$5:$H$132&lt;&gt;"")*('Assignment Calc'!$H$5:$H$132&lt;=V$3)*('Assignment Calc'!$I$5:$I$132&gt;=V$3)*'Assignment Calc'!$K$5:$K$132*'Assignment Calc'!$L$5:$L$132))</f>
        <v>16.5</v>
      </c>
      <c r="W6" s="26" t="n">
        <f aca="false">IF(WEEKDAY(W$3,2)&gt;5,0,SUMPRODUCT(('Assignment Calc'!$D$5:$D$132=$A6)*('Assignment Calc'!$H$5:$H$132&lt;&gt;"")*('Assignment Calc'!$H$5:$H$132&lt;=W$3)*('Assignment Calc'!$I$5:$I$132&gt;=W$3)*'Assignment Calc'!$K$5:$K$132*'Assignment Calc'!$L$5:$L$132))</f>
        <v>16.5</v>
      </c>
      <c r="X6" s="26" t="n">
        <f aca="false">IF(WEEKDAY(X$3,2)&gt;5,0,SUMPRODUCT(('Assignment Calc'!$D$5:$D$132=$A6)*('Assignment Calc'!$H$5:$H$132&lt;&gt;"")*('Assignment Calc'!$H$5:$H$132&lt;=X$3)*('Assignment Calc'!$I$5:$I$132&gt;=X$3)*'Assignment Calc'!$K$5:$K$132*'Assignment Calc'!$L$5:$L$132))</f>
        <v>16.5</v>
      </c>
      <c r="Y6" s="26" t="n">
        <f aca="false">IF(WEEKDAY(Y$3,2)&gt;5,0,SUMPRODUCT(('Assignment Calc'!$D$5:$D$132=$A6)*('Assignment Calc'!$H$5:$H$132&lt;&gt;"")*('Assignment Calc'!$H$5:$H$132&lt;=Y$3)*('Assignment Calc'!$I$5:$I$132&gt;=Y$3)*'Assignment Calc'!$K$5:$K$132*'Assignment Calc'!$L$5:$L$132))</f>
        <v>16.5</v>
      </c>
      <c r="Z6" s="26" t="n">
        <f aca="false">IF(WEEKDAY(Z$3,2)&gt;5,0,SUMPRODUCT(('Assignment Calc'!$D$5:$D$132=$A6)*('Assignment Calc'!$H$5:$H$132&lt;&gt;"")*('Assignment Calc'!$H$5:$H$132&lt;=Z$3)*('Assignment Calc'!$I$5:$I$132&gt;=Z$3)*'Assignment Calc'!$K$5:$K$132*'Assignment Calc'!$L$5:$L$132))</f>
        <v>0</v>
      </c>
      <c r="AA6" s="26" t="n">
        <f aca="false">IF(WEEKDAY(AA$3,2)&gt;5,0,SUMPRODUCT(('Assignment Calc'!$D$5:$D$132=$A6)*('Assignment Calc'!$H$5:$H$132&lt;&gt;"")*('Assignment Calc'!$H$5:$H$132&lt;=AA$3)*('Assignment Calc'!$I$5:$I$132&gt;=AA$3)*'Assignment Calc'!$K$5:$K$132*'Assignment Calc'!$L$5:$L$132))</f>
        <v>0</v>
      </c>
      <c r="AB6" s="26" t="n">
        <f aca="false">IF(WEEKDAY(AB$3,2)&gt;5,0,SUMPRODUCT(('Assignment Calc'!$D$5:$D$132=$A6)*('Assignment Calc'!$H$5:$H$132&lt;&gt;"")*('Assignment Calc'!$H$5:$H$132&lt;=AB$3)*('Assignment Calc'!$I$5:$I$132&gt;=AB$3)*'Assignment Calc'!$K$5:$K$132*'Assignment Calc'!$L$5:$L$132))</f>
        <v>13.5</v>
      </c>
      <c r="AC6" s="26" t="n">
        <f aca="false">IF(WEEKDAY(AC$3,2)&gt;5,0,SUMPRODUCT(('Assignment Calc'!$D$5:$D$132=$A6)*('Assignment Calc'!$H$5:$H$132&lt;&gt;"")*('Assignment Calc'!$H$5:$H$132&lt;=AC$3)*('Assignment Calc'!$I$5:$I$132&gt;=AC$3)*'Assignment Calc'!$K$5:$K$132*'Assignment Calc'!$L$5:$L$132))</f>
        <v>13.5</v>
      </c>
      <c r="AD6" s="26" t="n">
        <f aca="false">IF(WEEKDAY(AD$3,2)&gt;5,0,SUMPRODUCT(('Assignment Calc'!$D$5:$D$132=$A6)*('Assignment Calc'!$H$5:$H$132&lt;&gt;"")*('Assignment Calc'!$H$5:$H$132&lt;=AD$3)*('Assignment Calc'!$I$5:$I$132&gt;=AD$3)*'Assignment Calc'!$K$5:$K$132*'Assignment Calc'!$L$5:$L$132))</f>
        <v>13.5</v>
      </c>
      <c r="AE6" s="26" t="n">
        <f aca="false">IF(WEEKDAY(AE$3,2)&gt;5,0,SUMPRODUCT(('Assignment Calc'!$D$5:$D$132=$A6)*('Assignment Calc'!$H$5:$H$132&lt;&gt;"")*('Assignment Calc'!$H$5:$H$132&lt;=AE$3)*('Assignment Calc'!$I$5:$I$132&gt;=AE$3)*'Assignment Calc'!$K$5:$K$132*'Assignment Calc'!$L$5:$L$132))</f>
        <v>13.5</v>
      </c>
      <c r="AF6" s="26" t="n">
        <f aca="false">IF(WEEKDAY(AF$3,2)&gt;5,0,SUMPRODUCT(('Assignment Calc'!$D$5:$D$132=$A6)*('Assignment Calc'!$H$5:$H$132&lt;&gt;"")*('Assignment Calc'!$H$5:$H$132&lt;=AF$3)*('Assignment Calc'!$I$5:$I$132&gt;=AF$3)*'Assignment Calc'!$K$5:$K$132*'Assignment Calc'!$L$5:$L$132))</f>
        <v>13.5</v>
      </c>
      <c r="AG6" s="26" t="n">
        <f aca="false">IF(WEEKDAY(AG$3,2)&gt;5,0,SUMPRODUCT(('Assignment Calc'!$D$5:$D$132=$A6)*('Assignment Calc'!$H$5:$H$132&lt;&gt;"")*('Assignment Calc'!$H$5:$H$132&lt;=AG$3)*('Assignment Calc'!$I$5:$I$132&gt;=AG$3)*'Assignment Calc'!$K$5:$K$132*'Assignment Calc'!$L$5:$L$132))</f>
        <v>0</v>
      </c>
      <c r="AH6" s="26" t="n">
        <f aca="false">IF(WEEKDAY(AH$3,2)&gt;5,0,SUMPRODUCT(('Assignment Calc'!$D$5:$D$132=$A6)*('Assignment Calc'!$H$5:$H$132&lt;&gt;"")*('Assignment Calc'!$H$5:$H$132&lt;=AH$3)*('Assignment Calc'!$I$5:$I$132&gt;=AH$3)*'Assignment Calc'!$K$5:$K$132*'Assignment Calc'!$L$5:$L$132))</f>
        <v>0</v>
      </c>
      <c r="AI6" s="26" t="n">
        <f aca="false">IF(WEEKDAY(AI$3,2)&gt;5,0,SUMPRODUCT(('Assignment Calc'!$D$5:$D$132=$A6)*('Assignment Calc'!$H$5:$H$132&lt;&gt;"")*('Assignment Calc'!$H$5:$H$132&lt;=AI$3)*('Assignment Calc'!$I$5:$I$132&gt;=AI$3)*'Assignment Calc'!$K$5:$K$132*'Assignment Calc'!$L$5:$L$132))</f>
        <v>0</v>
      </c>
      <c r="AJ6" s="26" t="n">
        <f aca="false">IF(WEEKDAY(AJ$3,2)&gt;5,0,SUMPRODUCT(('Assignment Calc'!$D$5:$D$132=$A6)*('Assignment Calc'!$H$5:$H$132&lt;&gt;"")*('Assignment Calc'!$H$5:$H$132&lt;=AJ$3)*('Assignment Calc'!$I$5:$I$132&gt;=AJ$3)*'Assignment Calc'!$K$5:$K$132*'Assignment Calc'!$L$5:$L$132))</f>
        <v>0</v>
      </c>
      <c r="AK6" s="26" t="n">
        <f aca="false">IF(WEEKDAY(AK$3,2)&gt;5,0,SUMPRODUCT(('Assignment Calc'!$D$5:$D$132=$A6)*('Assignment Calc'!$H$5:$H$132&lt;&gt;"")*('Assignment Calc'!$H$5:$H$132&lt;=AK$3)*('Assignment Calc'!$I$5:$I$132&gt;=AK$3)*'Assignment Calc'!$K$5:$K$132*'Assignment Calc'!$L$5:$L$132))</f>
        <v>0</v>
      </c>
      <c r="AL6" s="26" t="n">
        <f aca="false">IF(WEEKDAY(AL$3,2)&gt;5,0,SUMPRODUCT(('Assignment Calc'!$D$5:$D$132=$A6)*('Assignment Calc'!$H$5:$H$132&lt;&gt;"")*('Assignment Calc'!$H$5:$H$132&lt;=AL$3)*('Assignment Calc'!$I$5:$I$132&gt;=AL$3)*'Assignment Calc'!$K$5:$K$132*'Assignment Calc'!$L$5:$L$132))</f>
        <v>0</v>
      </c>
      <c r="AM6" s="26" t="n">
        <f aca="false">IF(WEEKDAY(AM$3,2)&gt;5,0,SUMPRODUCT(('Assignment Calc'!$D$5:$D$132=$A6)*('Assignment Calc'!$H$5:$H$132&lt;&gt;"")*('Assignment Calc'!$H$5:$H$132&lt;=AM$3)*('Assignment Calc'!$I$5:$I$132&gt;=AM$3)*'Assignment Calc'!$K$5:$K$132*'Assignment Calc'!$L$5:$L$132))</f>
        <v>0</v>
      </c>
      <c r="AN6" s="26" t="n">
        <f aca="false">IF(WEEKDAY(AN$3,2)&gt;5,0,SUMPRODUCT(('Assignment Calc'!$D$5:$D$132=$A6)*('Assignment Calc'!$H$5:$H$132&lt;&gt;"")*('Assignment Calc'!$H$5:$H$132&lt;=AN$3)*('Assignment Calc'!$I$5:$I$132&gt;=AN$3)*'Assignment Calc'!$K$5:$K$132*'Assignment Calc'!$L$5:$L$132))</f>
        <v>0</v>
      </c>
      <c r="AO6" s="26" t="n">
        <f aca="false">IF(WEEKDAY(AO$3,2)&gt;5,0,SUMPRODUCT(('Assignment Calc'!$D$5:$D$132=$A6)*('Assignment Calc'!$H$5:$H$132&lt;&gt;"")*('Assignment Calc'!$H$5:$H$132&lt;=AO$3)*('Assignment Calc'!$I$5:$I$132&gt;=AO$3)*'Assignment Calc'!$K$5:$K$132*'Assignment Calc'!$L$5:$L$132))</f>
        <v>0</v>
      </c>
      <c r="AP6" s="26" t="n">
        <f aca="false">IF(WEEKDAY(AP$3,2)&gt;5,0,SUMPRODUCT(('Assignment Calc'!$D$5:$D$132=$A6)*('Assignment Calc'!$H$5:$H$132&lt;&gt;"")*('Assignment Calc'!$H$5:$H$132&lt;=AP$3)*('Assignment Calc'!$I$5:$I$132&gt;=AP$3)*'Assignment Calc'!$K$5:$K$132*'Assignment Calc'!$L$5:$L$132))</f>
        <v>13.5</v>
      </c>
      <c r="AQ6" s="26" t="n">
        <f aca="false">IF(WEEKDAY(AQ$3,2)&gt;5,0,SUMPRODUCT(('Assignment Calc'!$D$5:$D$132=$A6)*('Assignment Calc'!$H$5:$H$132&lt;&gt;"")*('Assignment Calc'!$H$5:$H$132&lt;=AQ$3)*('Assignment Calc'!$I$5:$I$132&gt;=AQ$3)*'Assignment Calc'!$K$5:$K$132*'Assignment Calc'!$L$5:$L$132))</f>
        <v>13.5</v>
      </c>
      <c r="AR6" s="26" t="n">
        <f aca="false">IF(WEEKDAY(AR$3,2)&gt;5,0,SUMPRODUCT(('Assignment Calc'!$D$5:$D$132=$A6)*('Assignment Calc'!$H$5:$H$132&lt;&gt;"")*('Assignment Calc'!$H$5:$H$132&lt;=AR$3)*('Assignment Calc'!$I$5:$I$132&gt;=AR$3)*'Assignment Calc'!$K$5:$K$132*'Assignment Calc'!$L$5:$L$132))</f>
        <v>13.5</v>
      </c>
      <c r="AS6" s="26" t="n">
        <f aca="false">IF(WEEKDAY(AS$3,2)&gt;5,0,SUMPRODUCT(('Assignment Calc'!$D$5:$D$132=$A6)*('Assignment Calc'!$H$5:$H$132&lt;&gt;"")*('Assignment Calc'!$H$5:$H$132&lt;=AS$3)*('Assignment Calc'!$I$5:$I$132&gt;=AS$3)*'Assignment Calc'!$K$5:$K$132*'Assignment Calc'!$L$5:$L$132))</f>
        <v>13.5</v>
      </c>
      <c r="AT6" s="26" t="n">
        <f aca="false">IF(WEEKDAY(AT$3,2)&gt;5,0,SUMPRODUCT(('Assignment Calc'!$D$5:$D$132=$A6)*('Assignment Calc'!$H$5:$H$132&lt;&gt;"")*('Assignment Calc'!$H$5:$H$132&lt;=AT$3)*('Assignment Calc'!$I$5:$I$132&gt;=AT$3)*'Assignment Calc'!$K$5:$K$132*'Assignment Calc'!$L$5:$L$132))</f>
        <v>13.5</v>
      </c>
      <c r="AU6" s="26" t="n">
        <f aca="false">IF(WEEKDAY(AU$3,2)&gt;5,0,SUMPRODUCT(('Assignment Calc'!$D$5:$D$132=$A6)*('Assignment Calc'!$H$5:$H$132&lt;&gt;"")*('Assignment Calc'!$H$5:$H$132&lt;=AU$3)*('Assignment Calc'!$I$5:$I$132&gt;=AU$3)*'Assignment Calc'!$K$5:$K$132*'Assignment Calc'!$L$5:$L$132))</f>
        <v>0</v>
      </c>
      <c r="AV6" s="26" t="n">
        <f aca="false">IF(WEEKDAY(AV$3,2)&gt;5,0,SUMPRODUCT(('Assignment Calc'!$D$5:$D$132=$A6)*('Assignment Calc'!$H$5:$H$132&lt;&gt;"")*('Assignment Calc'!$H$5:$H$132&lt;=AV$3)*('Assignment Calc'!$I$5:$I$132&gt;=AV$3)*'Assignment Calc'!$K$5:$K$132*'Assignment Calc'!$L$5:$L$132))</f>
        <v>0</v>
      </c>
      <c r="AW6" s="26" t="n">
        <f aca="false">IF(WEEKDAY(AW$3,2)&gt;5,0,SUMPRODUCT(('Assignment Calc'!$D$5:$D$132=$A6)*('Assignment Calc'!$H$5:$H$132&lt;&gt;"")*('Assignment Calc'!$H$5:$H$132&lt;=AW$3)*('Assignment Calc'!$I$5:$I$132&gt;=AW$3)*'Assignment Calc'!$K$5:$K$132*'Assignment Calc'!$L$5:$L$132))</f>
        <v>9</v>
      </c>
      <c r="AX6" s="26" t="n">
        <f aca="false">IF(WEEKDAY(AX$3,2)&gt;5,0,SUMPRODUCT(('Assignment Calc'!$D$5:$D$132=$A6)*('Assignment Calc'!$H$5:$H$132&lt;&gt;"")*('Assignment Calc'!$H$5:$H$132&lt;=AX$3)*('Assignment Calc'!$I$5:$I$132&gt;=AX$3)*'Assignment Calc'!$K$5:$K$132*'Assignment Calc'!$L$5:$L$132))</f>
        <v>9</v>
      </c>
      <c r="AY6" s="26" t="n">
        <f aca="false">IF(WEEKDAY(AY$3,2)&gt;5,0,SUMPRODUCT(('Assignment Calc'!$D$5:$D$132=$A6)*('Assignment Calc'!$H$5:$H$132&lt;&gt;"")*('Assignment Calc'!$H$5:$H$132&lt;=AY$3)*('Assignment Calc'!$I$5:$I$132&gt;=AY$3)*'Assignment Calc'!$K$5:$K$132*'Assignment Calc'!$L$5:$L$132))</f>
        <v>9</v>
      </c>
      <c r="AZ6" s="26" t="n">
        <f aca="false">IF(WEEKDAY(AZ$3,2)&gt;5,0,SUMPRODUCT(('Assignment Calc'!$D$5:$D$132=$A6)*('Assignment Calc'!$H$5:$H$132&lt;&gt;"")*('Assignment Calc'!$H$5:$H$132&lt;=AZ$3)*('Assignment Calc'!$I$5:$I$132&gt;=AZ$3)*'Assignment Calc'!$K$5:$K$132*'Assignment Calc'!$L$5:$L$132))</f>
        <v>9</v>
      </c>
      <c r="BA6" s="26" t="n">
        <f aca="false">IF(WEEKDAY(BA$3,2)&gt;5,0,SUMPRODUCT(('Assignment Calc'!$D$5:$D$132=$A6)*('Assignment Calc'!$H$5:$H$132&lt;&gt;"")*('Assignment Calc'!$H$5:$H$132&lt;=BA$3)*('Assignment Calc'!$I$5:$I$132&gt;=BA$3)*'Assignment Calc'!$K$5:$K$132*'Assignment Calc'!$L$5:$L$132))</f>
        <v>9</v>
      </c>
      <c r="BB6" s="26" t="n">
        <f aca="false">IF(WEEKDAY(BB$3,2)&gt;5,0,SUMPRODUCT(('Assignment Calc'!$D$5:$D$132=$A6)*('Assignment Calc'!$H$5:$H$132&lt;&gt;"")*('Assignment Calc'!$H$5:$H$132&lt;=BB$3)*('Assignment Calc'!$I$5:$I$132&gt;=BB$3)*'Assignment Calc'!$K$5:$K$132*'Assignment Calc'!$L$5:$L$132))</f>
        <v>0</v>
      </c>
      <c r="BC6" s="26" t="n">
        <f aca="false">IF(WEEKDAY(BC$3,2)&gt;5,0,SUMPRODUCT(('Assignment Calc'!$D$5:$D$132=$A6)*('Assignment Calc'!$H$5:$H$132&lt;&gt;"")*('Assignment Calc'!$H$5:$H$132&lt;=BC$3)*('Assignment Calc'!$I$5:$I$132&gt;=BC$3)*'Assignment Calc'!$K$5:$K$132*'Assignment Calc'!$L$5:$L$132))</f>
        <v>0</v>
      </c>
      <c r="BD6" s="26" t="n">
        <f aca="false">IF(WEEKDAY(BD$3,2)&gt;5,0,SUMPRODUCT(('Assignment Calc'!$D$5:$D$132=$A6)*('Assignment Calc'!$H$5:$H$132&lt;&gt;"")*('Assignment Calc'!$H$5:$H$132&lt;=BD$3)*('Assignment Calc'!$I$5:$I$132&gt;=BD$3)*'Assignment Calc'!$K$5:$K$132*'Assignment Calc'!$L$5:$L$132))</f>
        <v>2.25</v>
      </c>
      <c r="BE6" s="26" t="n">
        <f aca="false">IF(WEEKDAY(BE$3,2)&gt;5,0,SUMPRODUCT(('Assignment Calc'!$D$5:$D$132=$A6)*('Assignment Calc'!$H$5:$H$132&lt;&gt;"")*('Assignment Calc'!$H$5:$H$132&lt;=BE$3)*('Assignment Calc'!$I$5:$I$132&gt;=BE$3)*'Assignment Calc'!$K$5:$K$132*'Assignment Calc'!$L$5:$L$132))</f>
        <v>2.25</v>
      </c>
      <c r="BF6" s="26" t="n">
        <f aca="false">IF(WEEKDAY(BF$3,2)&gt;5,0,SUMPRODUCT(('Assignment Calc'!$D$5:$D$132=$A6)*('Assignment Calc'!$H$5:$H$132&lt;&gt;"")*('Assignment Calc'!$H$5:$H$132&lt;=BF$3)*('Assignment Calc'!$I$5:$I$132&gt;=BF$3)*'Assignment Calc'!$K$5:$K$132*'Assignment Calc'!$L$5:$L$132))</f>
        <v>2.25</v>
      </c>
      <c r="BG6" s="26" t="n">
        <f aca="false">IF(WEEKDAY(BG$3,2)&gt;5,0,SUMPRODUCT(('Assignment Calc'!$D$5:$D$132=$A6)*('Assignment Calc'!$H$5:$H$132&lt;&gt;"")*('Assignment Calc'!$H$5:$H$132&lt;=BG$3)*('Assignment Calc'!$I$5:$I$132&gt;=BG$3)*'Assignment Calc'!$K$5:$K$132*'Assignment Calc'!$L$5:$L$132))</f>
        <v>2.25</v>
      </c>
      <c r="BH6" s="26" t="n">
        <f aca="false">IF(WEEKDAY(BH$3,2)&gt;5,0,SUMPRODUCT(('Assignment Calc'!$D$5:$D$132=$A6)*('Assignment Calc'!$H$5:$H$132&lt;&gt;"")*('Assignment Calc'!$H$5:$H$132&lt;=BH$3)*('Assignment Calc'!$I$5:$I$132&gt;=BH$3)*'Assignment Calc'!$K$5:$K$132*'Assignment Calc'!$L$5:$L$132))</f>
        <v>2.25</v>
      </c>
      <c r="BI6" s="26" t="n">
        <f aca="false">IF(WEEKDAY(BI$3,2)&gt;5,0,SUMPRODUCT(('Assignment Calc'!$D$5:$D$132=$A6)*('Assignment Calc'!$H$5:$H$132&lt;&gt;"")*('Assignment Calc'!$H$5:$H$132&lt;=BI$3)*('Assignment Calc'!$I$5:$I$132&gt;=BI$3)*'Assignment Calc'!$K$5:$K$132*'Assignment Calc'!$L$5:$L$132))</f>
        <v>0</v>
      </c>
      <c r="BJ6" s="26" t="n">
        <f aca="false">IF(WEEKDAY(BJ$3,2)&gt;5,0,SUMPRODUCT(('Assignment Calc'!$D$5:$D$132=$A6)*('Assignment Calc'!$H$5:$H$132&lt;&gt;"")*('Assignment Calc'!$H$5:$H$132&lt;=BJ$3)*('Assignment Calc'!$I$5:$I$132&gt;=BJ$3)*'Assignment Calc'!$K$5:$K$132*'Assignment Calc'!$L$5:$L$132))</f>
        <v>0</v>
      </c>
      <c r="BK6" s="26" t="n">
        <f aca="false">IF(WEEKDAY(BK$3,2)&gt;5,0,SUMPRODUCT(('Assignment Calc'!$D$5:$D$132=$A6)*('Assignment Calc'!$H$5:$H$132&lt;&gt;"")*('Assignment Calc'!$H$5:$H$132&lt;=BK$3)*('Assignment Calc'!$I$5:$I$132&gt;=BK$3)*'Assignment Calc'!$K$5:$K$132*'Assignment Calc'!$L$5:$L$132))</f>
        <v>4.5</v>
      </c>
      <c r="BL6" s="26" t="n">
        <f aca="false">IF(WEEKDAY(BL$3,2)&gt;5,0,SUMPRODUCT(('Assignment Calc'!$D$5:$D$132=$A6)*('Assignment Calc'!$H$5:$H$132&lt;&gt;"")*('Assignment Calc'!$H$5:$H$132&lt;=BL$3)*('Assignment Calc'!$I$5:$I$132&gt;=BL$3)*'Assignment Calc'!$K$5:$K$132*'Assignment Calc'!$L$5:$L$132))</f>
        <v>2.25</v>
      </c>
      <c r="BM6" s="26" t="n">
        <f aca="false">IF(WEEKDAY(BM$3,2)&gt;5,0,SUMPRODUCT(('Assignment Calc'!$D$5:$D$132=$A6)*('Assignment Calc'!$H$5:$H$132&lt;&gt;"")*('Assignment Calc'!$H$5:$H$132&lt;=BM$3)*('Assignment Calc'!$I$5:$I$132&gt;=BM$3)*'Assignment Calc'!$K$5:$K$132*'Assignment Calc'!$L$5:$L$132))</f>
        <v>2.25</v>
      </c>
      <c r="BN6" s="26" t="n">
        <f aca="false">IF(WEEKDAY(BN$3,2)&gt;5,0,SUMPRODUCT(('Assignment Calc'!$D$5:$D$132=$A6)*('Assignment Calc'!$H$5:$H$132&lt;&gt;"")*('Assignment Calc'!$H$5:$H$132&lt;=BN$3)*('Assignment Calc'!$I$5:$I$132&gt;=BN$3)*'Assignment Calc'!$K$5:$K$132*'Assignment Calc'!$L$5:$L$132))</f>
        <v>2.25</v>
      </c>
      <c r="BO6" s="26" t="n">
        <f aca="false">IF(WEEKDAY(BO$3,2)&gt;5,0,SUMPRODUCT(('Assignment Calc'!$D$5:$D$132=$A6)*('Assignment Calc'!$H$5:$H$132&lt;&gt;"")*('Assignment Calc'!$H$5:$H$132&lt;=BO$3)*('Assignment Calc'!$I$5:$I$132&gt;=BO$3)*'Assignment Calc'!$K$5:$K$132*'Assignment Calc'!$L$5:$L$132))</f>
        <v>2.25</v>
      </c>
      <c r="BP6" s="26" t="n">
        <f aca="false">IF(WEEKDAY(BP$3,2)&gt;5,0,SUMPRODUCT(('Assignment Calc'!$D$5:$D$132=$A6)*('Assignment Calc'!$H$5:$H$132&lt;&gt;"")*('Assignment Calc'!$H$5:$H$132&lt;=BP$3)*('Assignment Calc'!$I$5:$I$132&gt;=BP$3)*'Assignment Calc'!$K$5:$K$132*'Assignment Calc'!$L$5:$L$132))</f>
        <v>0</v>
      </c>
      <c r="BQ6" s="26" t="n">
        <f aca="false">IF(WEEKDAY(BQ$3,2)&gt;5,0,SUMPRODUCT(('Assignment Calc'!$D$5:$D$132=$A6)*('Assignment Calc'!$H$5:$H$132&lt;&gt;"")*('Assignment Calc'!$H$5:$H$132&lt;=BQ$3)*('Assignment Calc'!$I$5:$I$132&gt;=BQ$3)*'Assignment Calc'!$K$5:$K$132*'Assignment Calc'!$L$5:$L$132))</f>
        <v>0</v>
      </c>
      <c r="BR6" s="26" t="n">
        <f aca="false">IF(WEEKDAY(BR$3,2)&gt;5,0,SUMPRODUCT(('Assignment Calc'!$D$5:$D$132=$A6)*('Assignment Calc'!$H$5:$H$132&lt;&gt;"")*('Assignment Calc'!$H$5:$H$132&lt;=BR$3)*('Assignment Calc'!$I$5:$I$132&gt;=BR$3)*'Assignment Calc'!$K$5:$K$132*'Assignment Calc'!$L$5:$L$132))</f>
        <v>15</v>
      </c>
      <c r="BS6" s="26" t="n">
        <f aca="false">IF(WEEKDAY(BS$3,2)&gt;5,0,SUMPRODUCT(('Assignment Calc'!$D$5:$D$132=$A6)*('Assignment Calc'!$H$5:$H$132&lt;&gt;"")*('Assignment Calc'!$H$5:$H$132&lt;=BS$3)*('Assignment Calc'!$I$5:$I$132&gt;=BS$3)*'Assignment Calc'!$K$5:$K$132*'Assignment Calc'!$L$5:$L$132))</f>
        <v>15</v>
      </c>
      <c r="BT6" s="26" t="n">
        <f aca="false">IF(WEEKDAY(BT$3,2)&gt;5,0,SUMPRODUCT(('Assignment Calc'!$D$5:$D$132=$A6)*('Assignment Calc'!$H$5:$H$132&lt;&gt;"")*('Assignment Calc'!$H$5:$H$132&lt;=BT$3)*('Assignment Calc'!$I$5:$I$132&gt;=BT$3)*'Assignment Calc'!$K$5:$K$132*'Assignment Calc'!$L$5:$L$132))</f>
        <v>15</v>
      </c>
      <c r="BU6" s="26" t="n">
        <f aca="false">IF(WEEKDAY(BU$3,2)&gt;5,0,SUMPRODUCT(('Assignment Calc'!$D$5:$D$132=$A6)*('Assignment Calc'!$H$5:$H$132&lt;&gt;"")*('Assignment Calc'!$H$5:$H$132&lt;=BU$3)*('Assignment Calc'!$I$5:$I$132&gt;=BU$3)*'Assignment Calc'!$K$5:$K$132*'Assignment Calc'!$L$5:$L$132))</f>
        <v>15</v>
      </c>
      <c r="BV6" s="26" t="n">
        <f aca="false">IF(WEEKDAY(BV$3,2)&gt;5,0,SUMPRODUCT(('Assignment Calc'!$D$5:$D$132=$A6)*('Assignment Calc'!$H$5:$H$132&lt;&gt;"")*('Assignment Calc'!$H$5:$H$132&lt;=BV$3)*('Assignment Calc'!$I$5:$I$132&gt;=BV$3)*'Assignment Calc'!$K$5:$K$132*'Assignment Calc'!$L$5:$L$132))</f>
        <v>15</v>
      </c>
      <c r="BW6" s="26" t="n">
        <f aca="false">IF(WEEKDAY(BW$3,2)&gt;5,0,SUMPRODUCT(('Assignment Calc'!$D$5:$D$132=$A6)*('Assignment Calc'!$H$5:$H$132&lt;&gt;"")*('Assignment Calc'!$H$5:$H$132&lt;=BW$3)*('Assignment Calc'!$I$5:$I$132&gt;=BW$3)*'Assignment Calc'!$K$5:$K$132*'Assignment Calc'!$L$5:$L$132))</f>
        <v>0</v>
      </c>
      <c r="BX6" s="26" t="n">
        <f aca="false">IF(WEEKDAY(BX$3,2)&gt;5,0,SUMPRODUCT(('Assignment Calc'!$D$5:$D$132=$A6)*('Assignment Calc'!$H$5:$H$132&lt;&gt;"")*('Assignment Calc'!$H$5:$H$132&lt;=BX$3)*('Assignment Calc'!$I$5:$I$132&gt;=BX$3)*'Assignment Calc'!$K$5:$K$132*'Assignment Calc'!$L$5:$L$132))</f>
        <v>0</v>
      </c>
      <c r="BY6" s="26" t="n">
        <f aca="false">IF(WEEKDAY(BY$3,2)&gt;5,0,SUMPRODUCT(('Assignment Calc'!$D$5:$D$132=$A6)*('Assignment Calc'!$H$5:$H$132&lt;&gt;"")*('Assignment Calc'!$H$5:$H$132&lt;=BY$3)*('Assignment Calc'!$I$5:$I$132&gt;=BY$3)*'Assignment Calc'!$K$5:$K$132*'Assignment Calc'!$L$5:$L$132))</f>
        <v>9</v>
      </c>
      <c r="BZ6" s="26" t="n">
        <f aca="false">IF(WEEKDAY(BZ$3,2)&gt;5,0,SUMPRODUCT(('Assignment Calc'!$D$5:$D$132=$A6)*('Assignment Calc'!$H$5:$H$132&lt;&gt;"")*('Assignment Calc'!$H$5:$H$132&lt;=BZ$3)*('Assignment Calc'!$I$5:$I$132&gt;=BZ$3)*'Assignment Calc'!$K$5:$K$132*'Assignment Calc'!$L$5:$L$132))</f>
        <v>9</v>
      </c>
      <c r="CA6" s="26" t="n">
        <f aca="false">IF(WEEKDAY(CA$3,2)&gt;5,0,SUMPRODUCT(('Assignment Calc'!$D$5:$D$132=$A6)*('Assignment Calc'!$H$5:$H$132&lt;&gt;"")*('Assignment Calc'!$H$5:$H$132&lt;=CA$3)*('Assignment Calc'!$I$5:$I$132&gt;=CA$3)*'Assignment Calc'!$K$5:$K$132*'Assignment Calc'!$L$5:$L$132))</f>
        <v>9</v>
      </c>
      <c r="CB6" s="26" t="n">
        <f aca="false">IF(WEEKDAY(CB$3,2)&gt;5,0,SUMPRODUCT(('Assignment Calc'!$D$5:$D$132=$A6)*('Assignment Calc'!$H$5:$H$132&lt;&gt;"")*('Assignment Calc'!$H$5:$H$132&lt;=CB$3)*('Assignment Calc'!$I$5:$I$132&gt;=CB$3)*'Assignment Calc'!$K$5:$K$132*'Assignment Calc'!$L$5:$L$132))</f>
        <v>9</v>
      </c>
      <c r="CC6" s="26" t="n">
        <f aca="false">IF(WEEKDAY(CC$3,2)&gt;5,0,SUMPRODUCT(('Assignment Calc'!$D$5:$D$132=$A6)*('Assignment Calc'!$H$5:$H$132&lt;&gt;"")*('Assignment Calc'!$H$5:$H$132&lt;=CC$3)*('Assignment Calc'!$I$5:$I$132&gt;=CC$3)*'Assignment Calc'!$K$5:$K$132*'Assignment Calc'!$L$5:$L$132))</f>
        <v>9</v>
      </c>
      <c r="CD6" s="26" t="n">
        <f aca="false">IF(WEEKDAY(CD$3,2)&gt;5,0,SUMPRODUCT(('Assignment Calc'!$D$5:$D$132=$A6)*('Assignment Calc'!$H$5:$H$132&lt;&gt;"")*('Assignment Calc'!$H$5:$H$132&lt;=CD$3)*('Assignment Calc'!$I$5:$I$132&gt;=CD$3)*'Assignment Calc'!$K$5:$K$132*'Assignment Calc'!$L$5:$L$132))</f>
        <v>0</v>
      </c>
      <c r="CE6" s="26" t="n">
        <f aca="false">IF(WEEKDAY(CE$3,2)&gt;5,0,SUMPRODUCT(('Assignment Calc'!$D$5:$D$132=$A6)*('Assignment Calc'!$H$5:$H$132&lt;&gt;"")*('Assignment Calc'!$H$5:$H$132&lt;=CE$3)*('Assignment Calc'!$I$5:$I$132&gt;=CE$3)*'Assignment Calc'!$K$5:$K$132*'Assignment Calc'!$L$5:$L$132))</f>
        <v>0</v>
      </c>
      <c r="CF6" s="26" t="n">
        <f aca="false">IF(WEEKDAY(CF$3,2)&gt;5,0,SUMPRODUCT(('Assignment Calc'!$D$5:$D$132=$A6)*('Assignment Calc'!$H$5:$H$132&lt;&gt;"")*('Assignment Calc'!$H$5:$H$132&lt;=CF$3)*('Assignment Calc'!$I$5:$I$132&gt;=CF$3)*'Assignment Calc'!$K$5:$K$132*'Assignment Calc'!$L$5:$L$132))</f>
        <v>4.5</v>
      </c>
      <c r="CG6" s="26" t="n">
        <f aca="false">IF(WEEKDAY(CG$3,2)&gt;5,0,SUMPRODUCT(('Assignment Calc'!$D$5:$D$132=$A6)*('Assignment Calc'!$H$5:$H$132&lt;&gt;"")*('Assignment Calc'!$H$5:$H$132&lt;=CG$3)*('Assignment Calc'!$I$5:$I$132&gt;=CG$3)*'Assignment Calc'!$K$5:$K$132*'Assignment Calc'!$L$5:$L$132))</f>
        <v>4.5</v>
      </c>
      <c r="CH6" s="26" t="n">
        <f aca="false">IF(WEEKDAY(CH$3,2)&gt;5,0,SUMPRODUCT(('Assignment Calc'!$D$5:$D$132=$A6)*('Assignment Calc'!$H$5:$H$132&lt;&gt;"")*('Assignment Calc'!$H$5:$H$132&lt;=CH$3)*('Assignment Calc'!$I$5:$I$132&gt;=CH$3)*'Assignment Calc'!$K$5:$K$132*'Assignment Calc'!$L$5:$L$132))</f>
        <v>4.5</v>
      </c>
      <c r="CI6" s="26" t="n">
        <f aca="false">IF(WEEKDAY(CI$3,2)&gt;5,0,SUMPRODUCT(('Assignment Calc'!$D$5:$D$132=$A6)*('Assignment Calc'!$H$5:$H$132&lt;&gt;"")*('Assignment Calc'!$H$5:$H$132&lt;=CI$3)*('Assignment Calc'!$I$5:$I$132&gt;=CI$3)*'Assignment Calc'!$K$5:$K$132*'Assignment Calc'!$L$5:$L$132))</f>
        <v>4.5</v>
      </c>
      <c r="CJ6" s="26" t="n">
        <f aca="false">IF(WEEKDAY(CJ$3,2)&gt;5,0,SUMPRODUCT(('Assignment Calc'!$D$5:$D$132=$A6)*('Assignment Calc'!$H$5:$H$132&lt;&gt;"")*('Assignment Calc'!$H$5:$H$132&lt;=CJ$3)*('Assignment Calc'!$I$5:$I$132&gt;=CJ$3)*'Assignment Calc'!$K$5:$K$132*'Assignment Calc'!$L$5:$L$132))</f>
        <v>4.5</v>
      </c>
      <c r="CK6" s="26" t="n">
        <f aca="false">IF(WEEKDAY(CK$3,2)&gt;5,0,SUMPRODUCT(('Assignment Calc'!$D$5:$D$132=$A6)*('Assignment Calc'!$H$5:$H$132&lt;&gt;"")*('Assignment Calc'!$H$5:$H$132&lt;=CK$3)*('Assignment Calc'!$I$5:$I$132&gt;=CK$3)*'Assignment Calc'!$K$5:$K$132*'Assignment Calc'!$L$5:$L$132))</f>
        <v>0</v>
      </c>
      <c r="CL6" s="26" t="n">
        <f aca="false">IF(WEEKDAY(CL$3,2)&gt;5,0,SUMPRODUCT(('Assignment Calc'!$D$5:$D$132=$A6)*('Assignment Calc'!$H$5:$H$132&lt;&gt;"")*('Assignment Calc'!$H$5:$H$132&lt;=CL$3)*('Assignment Calc'!$I$5:$I$132&gt;=CL$3)*'Assignment Calc'!$K$5:$K$132*'Assignment Calc'!$L$5:$L$132))</f>
        <v>0</v>
      </c>
      <c r="CM6" s="26" t="n">
        <f aca="false">IF(WEEKDAY(CM$3,2)&gt;5,0,SUMPRODUCT(('Assignment Calc'!$D$5:$D$132=$A6)*('Assignment Calc'!$H$5:$H$132&lt;&gt;"")*('Assignment Calc'!$H$5:$H$132&lt;=CM$3)*('Assignment Calc'!$I$5:$I$132&gt;=CM$3)*'Assignment Calc'!$K$5:$K$132*'Assignment Calc'!$L$5:$L$132))</f>
        <v>0</v>
      </c>
      <c r="CN6" s="26" t="n">
        <f aca="false">IF(WEEKDAY(CN$3,2)&gt;5,0,SUMPRODUCT(('Assignment Calc'!$D$5:$D$132=$A6)*('Assignment Calc'!$H$5:$H$132&lt;&gt;"")*('Assignment Calc'!$H$5:$H$132&lt;=CN$3)*('Assignment Calc'!$I$5:$I$132&gt;=CN$3)*'Assignment Calc'!$K$5:$K$132*'Assignment Calc'!$L$5:$L$132))</f>
        <v>0</v>
      </c>
      <c r="CO6" s="26" t="n">
        <f aca="false">IF(WEEKDAY(CO$3,2)&gt;5,0,SUMPRODUCT(('Assignment Calc'!$D$5:$D$132=$A6)*('Assignment Calc'!$H$5:$H$132&lt;&gt;"")*('Assignment Calc'!$H$5:$H$132&lt;=CO$3)*('Assignment Calc'!$I$5:$I$132&gt;=CO$3)*'Assignment Calc'!$K$5:$K$132*'Assignment Calc'!$L$5:$L$132))</f>
        <v>0</v>
      </c>
      <c r="CP6" s="26" t="n">
        <f aca="false">IF(WEEKDAY(CP$3,2)&gt;5,0,SUMPRODUCT(('Assignment Calc'!$D$5:$D$132=$A6)*('Assignment Calc'!$H$5:$H$132&lt;&gt;"")*('Assignment Calc'!$H$5:$H$132&lt;=CP$3)*('Assignment Calc'!$I$5:$I$132&gt;=CP$3)*'Assignment Calc'!$K$5:$K$132*'Assignment Calc'!$L$5:$L$132))</f>
        <v>0</v>
      </c>
    </row>
    <row r="7" customFormat="false" ht="15" hidden="false" customHeight="true" outlineLevel="0" collapsed="false">
      <c r="A7" s="2" t="s">
        <v>262</v>
      </c>
      <c r="B7" s="23" t="n">
        <f aca="false">SUM(C7:CP7)</f>
        <v>414.75</v>
      </c>
      <c r="C7" s="26" t="n">
        <f aca="false">IF(WEEKDAY(C$3,2)&gt;5,0,SUMPRODUCT(('Assignment Calc'!$D$5:$D$132=$A7)*('Assignment Calc'!$H$5:$H$132&lt;&gt;"")*('Assignment Calc'!$H$5:$H$132&lt;=C$3)*('Assignment Calc'!$I$5:$I$132&gt;=C$3)*'Assignment Calc'!$K$5:$K$132*'Assignment Calc'!$L$5:$L$132))</f>
        <v>0</v>
      </c>
      <c r="D7" s="26" t="n">
        <f aca="false">IF(WEEKDAY(D$3,2)&gt;5,0,SUMPRODUCT(('Assignment Calc'!$D$5:$D$132=$A7)*('Assignment Calc'!$H$5:$H$132&lt;&gt;"")*('Assignment Calc'!$H$5:$H$132&lt;=D$3)*('Assignment Calc'!$I$5:$I$132&gt;=D$3)*'Assignment Calc'!$K$5:$K$132*'Assignment Calc'!$L$5:$L$132))</f>
        <v>0</v>
      </c>
      <c r="E7" s="26" t="n">
        <f aca="false">IF(WEEKDAY(E$3,2)&gt;5,0,SUMPRODUCT(('Assignment Calc'!$D$5:$D$132=$A7)*('Assignment Calc'!$H$5:$H$132&lt;&gt;"")*('Assignment Calc'!$H$5:$H$132&lt;=E$3)*('Assignment Calc'!$I$5:$I$132&gt;=E$3)*'Assignment Calc'!$K$5:$K$132*'Assignment Calc'!$L$5:$L$132))</f>
        <v>0</v>
      </c>
      <c r="F7" s="26" t="n">
        <f aca="false">IF(WEEKDAY(F$3,2)&gt;5,0,SUMPRODUCT(('Assignment Calc'!$D$5:$D$132=$A7)*('Assignment Calc'!$H$5:$H$132&lt;&gt;"")*('Assignment Calc'!$H$5:$H$132&lt;=F$3)*('Assignment Calc'!$I$5:$I$132&gt;=F$3)*'Assignment Calc'!$K$5:$K$132*'Assignment Calc'!$L$5:$L$132))</f>
        <v>0</v>
      </c>
      <c r="G7" s="26" t="n">
        <f aca="false">IF(WEEKDAY(G$3,2)&gt;5,0,SUMPRODUCT(('Assignment Calc'!$D$5:$D$132=$A7)*('Assignment Calc'!$H$5:$H$132&lt;&gt;"")*('Assignment Calc'!$H$5:$H$132&lt;=G$3)*('Assignment Calc'!$I$5:$I$132&gt;=G$3)*'Assignment Calc'!$K$5:$K$132*'Assignment Calc'!$L$5:$L$132))</f>
        <v>0</v>
      </c>
      <c r="H7" s="26" t="n">
        <f aca="false">IF(WEEKDAY(H$3,2)&gt;5,0,SUMPRODUCT(('Assignment Calc'!$D$5:$D$132=$A7)*('Assignment Calc'!$H$5:$H$132&lt;&gt;"")*('Assignment Calc'!$H$5:$H$132&lt;=H$3)*('Assignment Calc'!$I$5:$I$132&gt;=H$3)*'Assignment Calc'!$K$5:$K$132*'Assignment Calc'!$L$5:$L$132))</f>
        <v>0</v>
      </c>
      <c r="I7" s="26" t="n">
        <f aca="false">IF(WEEKDAY(I$3,2)&gt;5,0,SUMPRODUCT(('Assignment Calc'!$D$5:$D$132=$A7)*('Assignment Calc'!$H$5:$H$132&lt;&gt;"")*('Assignment Calc'!$H$5:$H$132&lt;=I$3)*('Assignment Calc'!$I$5:$I$132&gt;=I$3)*'Assignment Calc'!$K$5:$K$132*'Assignment Calc'!$L$5:$L$132))</f>
        <v>0</v>
      </c>
      <c r="J7" s="26" t="n">
        <f aca="false">IF(WEEKDAY(J$3,2)&gt;5,0,SUMPRODUCT(('Assignment Calc'!$D$5:$D$132=$A7)*('Assignment Calc'!$H$5:$H$132&lt;&gt;"")*('Assignment Calc'!$H$5:$H$132&lt;=J$3)*('Assignment Calc'!$I$5:$I$132&gt;=J$3)*'Assignment Calc'!$K$5:$K$132*'Assignment Calc'!$L$5:$L$132))</f>
        <v>0</v>
      </c>
      <c r="K7" s="26" t="n">
        <f aca="false">IF(WEEKDAY(K$3,2)&gt;5,0,SUMPRODUCT(('Assignment Calc'!$D$5:$D$132=$A7)*('Assignment Calc'!$H$5:$H$132&lt;&gt;"")*('Assignment Calc'!$H$5:$H$132&lt;=K$3)*('Assignment Calc'!$I$5:$I$132&gt;=K$3)*'Assignment Calc'!$K$5:$K$132*'Assignment Calc'!$L$5:$L$132))</f>
        <v>0</v>
      </c>
      <c r="L7" s="26" t="n">
        <f aca="false">IF(WEEKDAY(L$3,2)&gt;5,0,SUMPRODUCT(('Assignment Calc'!$D$5:$D$132=$A7)*('Assignment Calc'!$H$5:$H$132&lt;&gt;"")*('Assignment Calc'!$H$5:$H$132&lt;=L$3)*('Assignment Calc'!$I$5:$I$132&gt;=L$3)*'Assignment Calc'!$K$5:$K$132*'Assignment Calc'!$L$5:$L$132))</f>
        <v>0</v>
      </c>
      <c r="M7" s="26" t="n">
        <f aca="false">IF(WEEKDAY(M$3,2)&gt;5,0,SUMPRODUCT(('Assignment Calc'!$D$5:$D$132=$A7)*('Assignment Calc'!$H$5:$H$132&lt;&gt;"")*('Assignment Calc'!$H$5:$H$132&lt;=M$3)*('Assignment Calc'!$I$5:$I$132&gt;=M$3)*'Assignment Calc'!$K$5:$K$132*'Assignment Calc'!$L$5:$L$132))</f>
        <v>0</v>
      </c>
      <c r="N7" s="26" t="n">
        <f aca="false">IF(WEEKDAY(N$3,2)&gt;5,0,SUMPRODUCT(('Assignment Calc'!$D$5:$D$132=$A7)*('Assignment Calc'!$H$5:$H$132&lt;&gt;"")*('Assignment Calc'!$H$5:$H$132&lt;=N$3)*('Assignment Calc'!$I$5:$I$132&gt;=N$3)*'Assignment Calc'!$K$5:$K$132*'Assignment Calc'!$L$5:$L$132))</f>
        <v>9.5</v>
      </c>
      <c r="O7" s="26" t="n">
        <f aca="false">IF(WEEKDAY(O$3,2)&gt;5,0,SUMPRODUCT(('Assignment Calc'!$D$5:$D$132=$A7)*('Assignment Calc'!$H$5:$H$132&lt;&gt;"")*('Assignment Calc'!$H$5:$H$132&lt;=O$3)*('Assignment Calc'!$I$5:$I$132&gt;=O$3)*'Assignment Calc'!$K$5:$K$132*'Assignment Calc'!$L$5:$L$132))</f>
        <v>9.5</v>
      </c>
      <c r="P7" s="26" t="n">
        <f aca="false">IF(WEEKDAY(P$3,2)&gt;5,0,SUMPRODUCT(('Assignment Calc'!$D$5:$D$132=$A7)*('Assignment Calc'!$H$5:$H$132&lt;&gt;"")*('Assignment Calc'!$H$5:$H$132&lt;=P$3)*('Assignment Calc'!$I$5:$I$132&gt;=P$3)*'Assignment Calc'!$K$5:$K$132*'Assignment Calc'!$L$5:$L$132))</f>
        <v>9.5</v>
      </c>
      <c r="Q7" s="26" t="n">
        <f aca="false">IF(WEEKDAY(Q$3,2)&gt;5,0,SUMPRODUCT(('Assignment Calc'!$D$5:$D$132=$A7)*('Assignment Calc'!$H$5:$H$132&lt;&gt;"")*('Assignment Calc'!$H$5:$H$132&lt;=Q$3)*('Assignment Calc'!$I$5:$I$132&gt;=Q$3)*'Assignment Calc'!$K$5:$K$132*'Assignment Calc'!$L$5:$L$132))</f>
        <v>9.5</v>
      </c>
      <c r="R7" s="26" t="n">
        <f aca="false">IF(WEEKDAY(R$3,2)&gt;5,0,SUMPRODUCT(('Assignment Calc'!$D$5:$D$132=$A7)*('Assignment Calc'!$H$5:$H$132&lt;&gt;"")*('Assignment Calc'!$H$5:$H$132&lt;=R$3)*('Assignment Calc'!$I$5:$I$132&gt;=R$3)*'Assignment Calc'!$K$5:$K$132*'Assignment Calc'!$L$5:$L$132))</f>
        <v>9.5</v>
      </c>
      <c r="S7" s="26" t="n">
        <f aca="false">IF(WEEKDAY(S$3,2)&gt;5,0,SUMPRODUCT(('Assignment Calc'!$D$5:$D$132=$A7)*('Assignment Calc'!$H$5:$H$132&lt;&gt;"")*('Assignment Calc'!$H$5:$H$132&lt;=S$3)*('Assignment Calc'!$I$5:$I$132&gt;=S$3)*'Assignment Calc'!$K$5:$K$132*'Assignment Calc'!$L$5:$L$132))</f>
        <v>0</v>
      </c>
      <c r="T7" s="26" t="n">
        <f aca="false">IF(WEEKDAY(T$3,2)&gt;5,0,SUMPRODUCT(('Assignment Calc'!$D$5:$D$132=$A7)*('Assignment Calc'!$H$5:$H$132&lt;&gt;"")*('Assignment Calc'!$H$5:$H$132&lt;=T$3)*('Assignment Calc'!$I$5:$I$132&gt;=T$3)*'Assignment Calc'!$K$5:$K$132*'Assignment Calc'!$L$5:$L$132))</f>
        <v>0</v>
      </c>
      <c r="U7" s="26" t="n">
        <f aca="false">IF(WEEKDAY(U$3,2)&gt;5,0,SUMPRODUCT(('Assignment Calc'!$D$5:$D$132=$A7)*('Assignment Calc'!$H$5:$H$132&lt;&gt;"")*('Assignment Calc'!$H$5:$H$132&lt;=U$3)*('Assignment Calc'!$I$5:$I$132&gt;=U$3)*'Assignment Calc'!$K$5:$K$132*'Assignment Calc'!$L$5:$L$132))</f>
        <v>9</v>
      </c>
      <c r="V7" s="26" t="n">
        <f aca="false">IF(WEEKDAY(V$3,2)&gt;5,0,SUMPRODUCT(('Assignment Calc'!$D$5:$D$132=$A7)*('Assignment Calc'!$H$5:$H$132&lt;&gt;"")*('Assignment Calc'!$H$5:$H$132&lt;=V$3)*('Assignment Calc'!$I$5:$I$132&gt;=V$3)*'Assignment Calc'!$K$5:$K$132*'Assignment Calc'!$L$5:$L$132))</f>
        <v>9</v>
      </c>
      <c r="W7" s="26" t="n">
        <f aca="false">IF(WEEKDAY(W$3,2)&gt;5,0,SUMPRODUCT(('Assignment Calc'!$D$5:$D$132=$A7)*('Assignment Calc'!$H$5:$H$132&lt;&gt;"")*('Assignment Calc'!$H$5:$H$132&lt;=W$3)*('Assignment Calc'!$I$5:$I$132&gt;=W$3)*'Assignment Calc'!$K$5:$K$132*'Assignment Calc'!$L$5:$L$132))</f>
        <v>9</v>
      </c>
      <c r="X7" s="26" t="n">
        <f aca="false">IF(WEEKDAY(X$3,2)&gt;5,0,SUMPRODUCT(('Assignment Calc'!$D$5:$D$132=$A7)*('Assignment Calc'!$H$5:$H$132&lt;&gt;"")*('Assignment Calc'!$H$5:$H$132&lt;=X$3)*('Assignment Calc'!$I$5:$I$132&gt;=X$3)*'Assignment Calc'!$K$5:$K$132*'Assignment Calc'!$L$5:$L$132))</f>
        <v>9</v>
      </c>
      <c r="Y7" s="26" t="n">
        <f aca="false">IF(WEEKDAY(Y$3,2)&gt;5,0,SUMPRODUCT(('Assignment Calc'!$D$5:$D$132=$A7)*('Assignment Calc'!$H$5:$H$132&lt;&gt;"")*('Assignment Calc'!$H$5:$H$132&lt;=Y$3)*('Assignment Calc'!$I$5:$I$132&gt;=Y$3)*'Assignment Calc'!$K$5:$K$132*'Assignment Calc'!$L$5:$L$132))</f>
        <v>9</v>
      </c>
      <c r="Z7" s="26" t="n">
        <f aca="false">IF(WEEKDAY(Z$3,2)&gt;5,0,SUMPRODUCT(('Assignment Calc'!$D$5:$D$132=$A7)*('Assignment Calc'!$H$5:$H$132&lt;&gt;"")*('Assignment Calc'!$H$5:$H$132&lt;=Z$3)*('Assignment Calc'!$I$5:$I$132&gt;=Z$3)*'Assignment Calc'!$K$5:$K$132*'Assignment Calc'!$L$5:$L$132))</f>
        <v>0</v>
      </c>
      <c r="AA7" s="26" t="n">
        <f aca="false">IF(WEEKDAY(AA$3,2)&gt;5,0,SUMPRODUCT(('Assignment Calc'!$D$5:$D$132=$A7)*('Assignment Calc'!$H$5:$H$132&lt;&gt;"")*('Assignment Calc'!$H$5:$H$132&lt;=AA$3)*('Assignment Calc'!$I$5:$I$132&gt;=AA$3)*'Assignment Calc'!$K$5:$K$132*'Assignment Calc'!$L$5:$L$132))</f>
        <v>0</v>
      </c>
      <c r="AB7" s="26" t="n">
        <f aca="false">IF(WEEKDAY(AB$3,2)&gt;5,0,SUMPRODUCT(('Assignment Calc'!$D$5:$D$132=$A7)*('Assignment Calc'!$H$5:$H$132&lt;&gt;"")*('Assignment Calc'!$H$5:$H$132&lt;=AB$3)*('Assignment Calc'!$I$5:$I$132&gt;=AB$3)*'Assignment Calc'!$K$5:$K$132*'Assignment Calc'!$L$5:$L$132))</f>
        <v>8.5</v>
      </c>
      <c r="AC7" s="26" t="n">
        <f aca="false">IF(WEEKDAY(AC$3,2)&gt;5,0,SUMPRODUCT(('Assignment Calc'!$D$5:$D$132=$A7)*('Assignment Calc'!$H$5:$H$132&lt;&gt;"")*('Assignment Calc'!$H$5:$H$132&lt;=AC$3)*('Assignment Calc'!$I$5:$I$132&gt;=AC$3)*'Assignment Calc'!$K$5:$K$132*'Assignment Calc'!$L$5:$L$132))</f>
        <v>8.5</v>
      </c>
      <c r="AD7" s="26" t="n">
        <f aca="false">IF(WEEKDAY(AD$3,2)&gt;5,0,SUMPRODUCT(('Assignment Calc'!$D$5:$D$132=$A7)*('Assignment Calc'!$H$5:$H$132&lt;&gt;"")*('Assignment Calc'!$H$5:$H$132&lt;=AD$3)*('Assignment Calc'!$I$5:$I$132&gt;=AD$3)*'Assignment Calc'!$K$5:$K$132*'Assignment Calc'!$L$5:$L$132))</f>
        <v>8.5</v>
      </c>
      <c r="AE7" s="26" t="n">
        <f aca="false">IF(WEEKDAY(AE$3,2)&gt;5,0,SUMPRODUCT(('Assignment Calc'!$D$5:$D$132=$A7)*('Assignment Calc'!$H$5:$H$132&lt;&gt;"")*('Assignment Calc'!$H$5:$H$132&lt;=AE$3)*('Assignment Calc'!$I$5:$I$132&gt;=AE$3)*'Assignment Calc'!$K$5:$K$132*'Assignment Calc'!$L$5:$L$132))</f>
        <v>8.5</v>
      </c>
      <c r="AF7" s="26" t="n">
        <f aca="false">IF(WEEKDAY(AF$3,2)&gt;5,0,SUMPRODUCT(('Assignment Calc'!$D$5:$D$132=$A7)*('Assignment Calc'!$H$5:$H$132&lt;&gt;"")*('Assignment Calc'!$H$5:$H$132&lt;=AF$3)*('Assignment Calc'!$I$5:$I$132&gt;=AF$3)*'Assignment Calc'!$K$5:$K$132*'Assignment Calc'!$L$5:$L$132))</f>
        <v>8.5</v>
      </c>
      <c r="AG7" s="26" t="n">
        <f aca="false">IF(WEEKDAY(AG$3,2)&gt;5,0,SUMPRODUCT(('Assignment Calc'!$D$5:$D$132=$A7)*('Assignment Calc'!$H$5:$H$132&lt;&gt;"")*('Assignment Calc'!$H$5:$H$132&lt;=AG$3)*('Assignment Calc'!$I$5:$I$132&gt;=AG$3)*'Assignment Calc'!$K$5:$K$132*'Assignment Calc'!$L$5:$L$132))</f>
        <v>0</v>
      </c>
      <c r="AH7" s="26" t="n">
        <f aca="false">IF(WEEKDAY(AH$3,2)&gt;5,0,SUMPRODUCT(('Assignment Calc'!$D$5:$D$132=$A7)*('Assignment Calc'!$H$5:$H$132&lt;&gt;"")*('Assignment Calc'!$H$5:$H$132&lt;=AH$3)*('Assignment Calc'!$I$5:$I$132&gt;=AH$3)*'Assignment Calc'!$K$5:$K$132*'Assignment Calc'!$L$5:$L$132))</f>
        <v>0</v>
      </c>
      <c r="AI7" s="26" t="n">
        <f aca="false">IF(WEEKDAY(AI$3,2)&gt;5,0,SUMPRODUCT(('Assignment Calc'!$D$5:$D$132=$A7)*('Assignment Calc'!$H$5:$H$132&lt;&gt;"")*('Assignment Calc'!$H$5:$H$132&lt;=AI$3)*('Assignment Calc'!$I$5:$I$132&gt;=AI$3)*'Assignment Calc'!$K$5:$K$132*'Assignment Calc'!$L$5:$L$132))</f>
        <v>21</v>
      </c>
      <c r="AJ7" s="26" t="n">
        <f aca="false">IF(WEEKDAY(AJ$3,2)&gt;5,0,SUMPRODUCT(('Assignment Calc'!$D$5:$D$132=$A7)*('Assignment Calc'!$H$5:$H$132&lt;&gt;"")*('Assignment Calc'!$H$5:$H$132&lt;=AJ$3)*('Assignment Calc'!$I$5:$I$132&gt;=AJ$3)*'Assignment Calc'!$K$5:$K$132*'Assignment Calc'!$L$5:$L$132))</f>
        <v>21</v>
      </c>
      <c r="AK7" s="26" t="n">
        <f aca="false">IF(WEEKDAY(AK$3,2)&gt;5,0,SUMPRODUCT(('Assignment Calc'!$D$5:$D$132=$A7)*('Assignment Calc'!$H$5:$H$132&lt;&gt;"")*('Assignment Calc'!$H$5:$H$132&lt;=AK$3)*('Assignment Calc'!$I$5:$I$132&gt;=AK$3)*'Assignment Calc'!$K$5:$K$132*'Assignment Calc'!$L$5:$L$132))</f>
        <v>21</v>
      </c>
      <c r="AL7" s="26" t="n">
        <f aca="false">IF(WEEKDAY(AL$3,2)&gt;5,0,SUMPRODUCT(('Assignment Calc'!$D$5:$D$132=$A7)*('Assignment Calc'!$H$5:$H$132&lt;&gt;"")*('Assignment Calc'!$H$5:$H$132&lt;=AL$3)*('Assignment Calc'!$I$5:$I$132&gt;=AL$3)*'Assignment Calc'!$K$5:$K$132*'Assignment Calc'!$L$5:$L$132))</f>
        <v>21</v>
      </c>
      <c r="AM7" s="26" t="n">
        <f aca="false">IF(WEEKDAY(AM$3,2)&gt;5,0,SUMPRODUCT(('Assignment Calc'!$D$5:$D$132=$A7)*('Assignment Calc'!$H$5:$H$132&lt;&gt;"")*('Assignment Calc'!$H$5:$H$132&lt;=AM$3)*('Assignment Calc'!$I$5:$I$132&gt;=AM$3)*'Assignment Calc'!$K$5:$K$132*'Assignment Calc'!$L$5:$L$132))</f>
        <v>21</v>
      </c>
      <c r="AN7" s="26" t="n">
        <f aca="false">IF(WEEKDAY(AN$3,2)&gt;5,0,SUMPRODUCT(('Assignment Calc'!$D$5:$D$132=$A7)*('Assignment Calc'!$H$5:$H$132&lt;&gt;"")*('Assignment Calc'!$H$5:$H$132&lt;=AN$3)*('Assignment Calc'!$I$5:$I$132&gt;=AN$3)*'Assignment Calc'!$K$5:$K$132*'Assignment Calc'!$L$5:$L$132))</f>
        <v>0</v>
      </c>
      <c r="AO7" s="26" t="n">
        <f aca="false">IF(WEEKDAY(AO$3,2)&gt;5,0,SUMPRODUCT(('Assignment Calc'!$D$5:$D$132=$A7)*('Assignment Calc'!$H$5:$H$132&lt;&gt;"")*('Assignment Calc'!$H$5:$H$132&lt;=AO$3)*('Assignment Calc'!$I$5:$I$132&gt;=AO$3)*'Assignment Calc'!$K$5:$K$132*'Assignment Calc'!$L$5:$L$132))</f>
        <v>0</v>
      </c>
      <c r="AP7" s="26" t="n">
        <f aca="false">IF(WEEKDAY(AP$3,2)&gt;5,0,SUMPRODUCT(('Assignment Calc'!$D$5:$D$132=$A7)*('Assignment Calc'!$H$5:$H$132&lt;&gt;"")*('Assignment Calc'!$H$5:$H$132&lt;=AP$3)*('Assignment Calc'!$I$5:$I$132&gt;=AP$3)*'Assignment Calc'!$K$5:$K$132*'Assignment Calc'!$L$5:$L$132))</f>
        <v>9</v>
      </c>
      <c r="AQ7" s="26" t="n">
        <f aca="false">IF(WEEKDAY(AQ$3,2)&gt;5,0,SUMPRODUCT(('Assignment Calc'!$D$5:$D$132=$A7)*('Assignment Calc'!$H$5:$H$132&lt;&gt;"")*('Assignment Calc'!$H$5:$H$132&lt;=AQ$3)*('Assignment Calc'!$I$5:$I$132&gt;=AQ$3)*'Assignment Calc'!$K$5:$K$132*'Assignment Calc'!$L$5:$L$132))</f>
        <v>9</v>
      </c>
      <c r="AR7" s="26" t="n">
        <f aca="false">IF(WEEKDAY(AR$3,2)&gt;5,0,SUMPRODUCT(('Assignment Calc'!$D$5:$D$132=$A7)*('Assignment Calc'!$H$5:$H$132&lt;&gt;"")*('Assignment Calc'!$H$5:$H$132&lt;=AR$3)*('Assignment Calc'!$I$5:$I$132&gt;=AR$3)*'Assignment Calc'!$K$5:$K$132*'Assignment Calc'!$L$5:$L$132))</f>
        <v>9</v>
      </c>
      <c r="AS7" s="26" t="n">
        <f aca="false">IF(WEEKDAY(AS$3,2)&gt;5,0,SUMPRODUCT(('Assignment Calc'!$D$5:$D$132=$A7)*('Assignment Calc'!$H$5:$H$132&lt;&gt;"")*('Assignment Calc'!$H$5:$H$132&lt;=AS$3)*('Assignment Calc'!$I$5:$I$132&gt;=AS$3)*'Assignment Calc'!$K$5:$K$132*'Assignment Calc'!$L$5:$L$132))</f>
        <v>9</v>
      </c>
      <c r="AT7" s="26" t="n">
        <f aca="false">IF(WEEKDAY(AT$3,2)&gt;5,0,SUMPRODUCT(('Assignment Calc'!$D$5:$D$132=$A7)*('Assignment Calc'!$H$5:$H$132&lt;&gt;"")*('Assignment Calc'!$H$5:$H$132&lt;=AT$3)*('Assignment Calc'!$I$5:$I$132&gt;=AT$3)*'Assignment Calc'!$K$5:$K$132*'Assignment Calc'!$L$5:$L$132))</f>
        <v>9</v>
      </c>
      <c r="AU7" s="26" t="n">
        <f aca="false">IF(WEEKDAY(AU$3,2)&gt;5,0,SUMPRODUCT(('Assignment Calc'!$D$5:$D$132=$A7)*('Assignment Calc'!$H$5:$H$132&lt;&gt;"")*('Assignment Calc'!$H$5:$H$132&lt;=AU$3)*('Assignment Calc'!$I$5:$I$132&gt;=AU$3)*'Assignment Calc'!$K$5:$K$132*'Assignment Calc'!$L$5:$L$132))</f>
        <v>0</v>
      </c>
      <c r="AV7" s="26" t="n">
        <f aca="false">IF(WEEKDAY(AV$3,2)&gt;5,0,SUMPRODUCT(('Assignment Calc'!$D$5:$D$132=$A7)*('Assignment Calc'!$H$5:$H$132&lt;&gt;"")*('Assignment Calc'!$H$5:$H$132&lt;=AV$3)*('Assignment Calc'!$I$5:$I$132&gt;=AV$3)*'Assignment Calc'!$K$5:$K$132*'Assignment Calc'!$L$5:$L$132))</f>
        <v>0</v>
      </c>
      <c r="AW7" s="26" t="n">
        <f aca="false">IF(WEEKDAY(AW$3,2)&gt;5,0,SUMPRODUCT(('Assignment Calc'!$D$5:$D$132=$A7)*('Assignment Calc'!$H$5:$H$132&lt;&gt;"")*('Assignment Calc'!$H$5:$H$132&lt;=AW$3)*('Assignment Calc'!$I$5:$I$132&gt;=AW$3)*'Assignment Calc'!$K$5:$K$132*'Assignment Calc'!$L$5:$L$132))</f>
        <v>3</v>
      </c>
      <c r="AX7" s="26" t="n">
        <f aca="false">IF(WEEKDAY(AX$3,2)&gt;5,0,SUMPRODUCT(('Assignment Calc'!$D$5:$D$132=$A7)*('Assignment Calc'!$H$5:$H$132&lt;&gt;"")*('Assignment Calc'!$H$5:$H$132&lt;=AX$3)*('Assignment Calc'!$I$5:$I$132&gt;=AX$3)*'Assignment Calc'!$K$5:$K$132*'Assignment Calc'!$L$5:$L$132))</f>
        <v>3</v>
      </c>
      <c r="AY7" s="26" t="n">
        <f aca="false">IF(WEEKDAY(AY$3,2)&gt;5,0,SUMPRODUCT(('Assignment Calc'!$D$5:$D$132=$A7)*('Assignment Calc'!$H$5:$H$132&lt;&gt;"")*('Assignment Calc'!$H$5:$H$132&lt;=AY$3)*('Assignment Calc'!$I$5:$I$132&gt;=AY$3)*'Assignment Calc'!$K$5:$K$132*'Assignment Calc'!$L$5:$L$132))</f>
        <v>3</v>
      </c>
      <c r="AZ7" s="26" t="n">
        <f aca="false">IF(WEEKDAY(AZ$3,2)&gt;5,0,SUMPRODUCT(('Assignment Calc'!$D$5:$D$132=$A7)*('Assignment Calc'!$H$5:$H$132&lt;&gt;"")*('Assignment Calc'!$H$5:$H$132&lt;=AZ$3)*('Assignment Calc'!$I$5:$I$132&gt;=AZ$3)*'Assignment Calc'!$K$5:$K$132*'Assignment Calc'!$L$5:$L$132))</f>
        <v>3</v>
      </c>
      <c r="BA7" s="26" t="n">
        <f aca="false">IF(WEEKDAY(BA$3,2)&gt;5,0,SUMPRODUCT(('Assignment Calc'!$D$5:$D$132=$A7)*('Assignment Calc'!$H$5:$H$132&lt;&gt;"")*('Assignment Calc'!$H$5:$H$132&lt;=BA$3)*('Assignment Calc'!$I$5:$I$132&gt;=BA$3)*'Assignment Calc'!$K$5:$K$132*'Assignment Calc'!$L$5:$L$132))</f>
        <v>3</v>
      </c>
      <c r="BB7" s="26" t="n">
        <f aca="false">IF(WEEKDAY(BB$3,2)&gt;5,0,SUMPRODUCT(('Assignment Calc'!$D$5:$D$132=$A7)*('Assignment Calc'!$H$5:$H$132&lt;&gt;"")*('Assignment Calc'!$H$5:$H$132&lt;=BB$3)*('Assignment Calc'!$I$5:$I$132&gt;=BB$3)*'Assignment Calc'!$K$5:$K$132*'Assignment Calc'!$L$5:$L$132))</f>
        <v>0</v>
      </c>
      <c r="BC7" s="26" t="n">
        <f aca="false">IF(WEEKDAY(BC$3,2)&gt;5,0,SUMPRODUCT(('Assignment Calc'!$D$5:$D$132=$A7)*('Assignment Calc'!$H$5:$H$132&lt;&gt;"")*('Assignment Calc'!$H$5:$H$132&lt;=BC$3)*('Assignment Calc'!$I$5:$I$132&gt;=BC$3)*'Assignment Calc'!$K$5:$K$132*'Assignment Calc'!$L$5:$L$132))</f>
        <v>0</v>
      </c>
      <c r="BD7" s="26" t="n">
        <f aca="false">IF(WEEKDAY(BD$3,2)&gt;5,0,SUMPRODUCT(('Assignment Calc'!$D$5:$D$132=$A7)*('Assignment Calc'!$H$5:$H$132&lt;&gt;"")*('Assignment Calc'!$H$5:$H$132&lt;=BD$3)*('Assignment Calc'!$I$5:$I$132&gt;=BD$3)*'Assignment Calc'!$K$5:$K$132*'Assignment Calc'!$L$5:$L$132))</f>
        <v>0</v>
      </c>
      <c r="BE7" s="26" t="n">
        <f aca="false">IF(WEEKDAY(BE$3,2)&gt;5,0,SUMPRODUCT(('Assignment Calc'!$D$5:$D$132=$A7)*('Assignment Calc'!$H$5:$H$132&lt;&gt;"")*('Assignment Calc'!$H$5:$H$132&lt;=BE$3)*('Assignment Calc'!$I$5:$I$132&gt;=BE$3)*'Assignment Calc'!$K$5:$K$132*'Assignment Calc'!$L$5:$L$132))</f>
        <v>0</v>
      </c>
      <c r="BF7" s="26" t="n">
        <f aca="false">IF(WEEKDAY(BF$3,2)&gt;5,0,SUMPRODUCT(('Assignment Calc'!$D$5:$D$132=$A7)*('Assignment Calc'!$H$5:$H$132&lt;&gt;"")*('Assignment Calc'!$H$5:$H$132&lt;=BF$3)*('Assignment Calc'!$I$5:$I$132&gt;=BF$3)*'Assignment Calc'!$K$5:$K$132*'Assignment Calc'!$L$5:$L$132))</f>
        <v>0</v>
      </c>
      <c r="BG7" s="26" t="n">
        <f aca="false">IF(WEEKDAY(BG$3,2)&gt;5,0,SUMPRODUCT(('Assignment Calc'!$D$5:$D$132=$A7)*('Assignment Calc'!$H$5:$H$132&lt;&gt;"")*('Assignment Calc'!$H$5:$H$132&lt;=BG$3)*('Assignment Calc'!$I$5:$I$132&gt;=BG$3)*'Assignment Calc'!$K$5:$K$132*'Assignment Calc'!$L$5:$L$132))</f>
        <v>0</v>
      </c>
      <c r="BH7" s="26" t="n">
        <f aca="false">IF(WEEKDAY(BH$3,2)&gt;5,0,SUMPRODUCT(('Assignment Calc'!$D$5:$D$132=$A7)*('Assignment Calc'!$H$5:$H$132&lt;&gt;"")*('Assignment Calc'!$H$5:$H$132&lt;=BH$3)*('Assignment Calc'!$I$5:$I$132&gt;=BH$3)*'Assignment Calc'!$K$5:$K$132*'Assignment Calc'!$L$5:$L$132))</f>
        <v>0</v>
      </c>
      <c r="BI7" s="26" t="n">
        <f aca="false">IF(WEEKDAY(BI$3,2)&gt;5,0,SUMPRODUCT(('Assignment Calc'!$D$5:$D$132=$A7)*('Assignment Calc'!$H$5:$H$132&lt;&gt;"")*('Assignment Calc'!$H$5:$H$132&lt;=BI$3)*('Assignment Calc'!$I$5:$I$132&gt;=BI$3)*'Assignment Calc'!$K$5:$K$132*'Assignment Calc'!$L$5:$L$132))</f>
        <v>0</v>
      </c>
      <c r="BJ7" s="26" t="n">
        <f aca="false">IF(WEEKDAY(BJ$3,2)&gt;5,0,SUMPRODUCT(('Assignment Calc'!$D$5:$D$132=$A7)*('Assignment Calc'!$H$5:$H$132&lt;&gt;"")*('Assignment Calc'!$H$5:$H$132&lt;=BJ$3)*('Assignment Calc'!$I$5:$I$132&gt;=BJ$3)*'Assignment Calc'!$K$5:$K$132*'Assignment Calc'!$L$5:$L$132))</f>
        <v>0</v>
      </c>
      <c r="BK7" s="26" t="n">
        <f aca="false">IF(WEEKDAY(BK$3,2)&gt;5,0,SUMPRODUCT(('Assignment Calc'!$D$5:$D$132=$A7)*('Assignment Calc'!$H$5:$H$132&lt;&gt;"")*('Assignment Calc'!$H$5:$H$132&lt;=BK$3)*('Assignment Calc'!$I$5:$I$132&gt;=BK$3)*'Assignment Calc'!$K$5:$K$132*'Assignment Calc'!$L$5:$L$132))</f>
        <v>4.5</v>
      </c>
      <c r="BL7" s="26" t="n">
        <f aca="false">IF(WEEKDAY(BL$3,2)&gt;5,0,SUMPRODUCT(('Assignment Calc'!$D$5:$D$132=$A7)*('Assignment Calc'!$H$5:$H$132&lt;&gt;"")*('Assignment Calc'!$H$5:$H$132&lt;=BL$3)*('Assignment Calc'!$I$5:$I$132&gt;=BL$3)*'Assignment Calc'!$K$5:$K$132*'Assignment Calc'!$L$5:$L$132))</f>
        <v>0</v>
      </c>
      <c r="BM7" s="26" t="n">
        <f aca="false">IF(WEEKDAY(BM$3,2)&gt;5,0,SUMPRODUCT(('Assignment Calc'!$D$5:$D$132=$A7)*('Assignment Calc'!$H$5:$H$132&lt;&gt;"")*('Assignment Calc'!$H$5:$H$132&lt;=BM$3)*('Assignment Calc'!$I$5:$I$132&gt;=BM$3)*'Assignment Calc'!$K$5:$K$132*'Assignment Calc'!$L$5:$L$132))</f>
        <v>0</v>
      </c>
      <c r="BN7" s="26" t="n">
        <f aca="false">IF(WEEKDAY(BN$3,2)&gt;5,0,SUMPRODUCT(('Assignment Calc'!$D$5:$D$132=$A7)*('Assignment Calc'!$H$5:$H$132&lt;&gt;"")*('Assignment Calc'!$H$5:$H$132&lt;=BN$3)*('Assignment Calc'!$I$5:$I$132&gt;=BN$3)*'Assignment Calc'!$K$5:$K$132*'Assignment Calc'!$L$5:$L$132))</f>
        <v>0</v>
      </c>
      <c r="BO7" s="26" t="n">
        <f aca="false">IF(WEEKDAY(BO$3,2)&gt;5,0,SUMPRODUCT(('Assignment Calc'!$D$5:$D$132=$A7)*('Assignment Calc'!$H$5:$H$132&lt;&gt;"")*('Assignment Calc'!$H$5:$H$132&lt;=BO$3)*('Assignment Calc'!$I$5:$I$132&gt;=BO$3)*'Assignment Calc'!$K$5:$K$132*'Assignment Calc'!$L$5:$L$132))</f>
        <v>0</v>
      </c>
      <c r="BP7" s="26" t="n">
        <f aca="false">IF(WEEKDAY(BP$3,2)&gt;5,0,SUMPRODUCT(('Assignment Calc'!$D$5:$D$132=$A7)*('Assignment Calc'!$H$5:$H$132&lt;&gt;"")*('Assignment Calc'!$H$5:$H$132&lt;=BP$3)*('Assignment Calc'!$I$5:$I$132&gt;=BP$3)*'Assignment Calc'!$K$5:$K$132*'Assignment Calc'!$L$5:$L$132))</f>
        <v>0</v>
      </c>
      <c r="BQ7" s="26" t="n">
        <f aca="false">IF(WEEKDAY(BQ$3,2)&gt;5,0,SUMPRODUCT(('Assignment Calc'!$D$5:$D$132=$A7)*('Assignment Calc'!$H$5:$H$132&lt;&gt;"")*('Assignment Calc'!$H$5:$H$132&lt;=BQ$3)*('Assignment Calc'!$I$5:$I$132&gt;=BQ$3)*'Assignment Calc'!$K$5:$K$132*'Assignment Calc'!$L$5:$L$132))</f>
        <v>0</v>
      </c>
      <c r="BR7" s="26" t="n">
        <f aca="false">IF(WEEKDAY(BR$3,2)&gt;5,0,SUMPRODUCT(('Assignment Calc'!$D$5:$D$132=$A7)*('Assignment Calc'!$H$5:$H$132&lt;&gt;"")*('Assignment Calc'!$H$5:$H$132&lt;=BR$3)*('Assignment Calc'!$I$5:$I$132&gt;=BR$3)*'Assignment Calc'!$K$5:$K$132*'Assignment Calc'!$L$5:$L$132))</f>
        <v>9</v>
      </c>
      <c r="BS7" s="26" t="n">
        <f aca="false">IF(WEEKDAY(BS$3,2)&gt;5,0,SUMPRODUCT(('Assignment Calc'!$D$5:$D$132=$A7)*('Assignment Calc'!$H$5:$H$132&lt;&gt;"")*('Assignment Calc'!$H$5:$H$132&lt;=BS$3)*('Assignment Calc'!$I$5:$I$132&gt;=BS$3)*'Assignment Calc'!$K$5:$K$132*'Assignment Calc'!$L$5:$L$132))</f>
        <v>9</v>
      </c>
      <c r="BT7" s="26" t="n">
        <f aca="false">IF(WEEKDAY(BT$3,2)&gt;5,0,SUMPRODUCT(('Assignment Calc'!$D$5:$D$132=$A7)*('Assignment Calc'!$H$5:$H$132&lt;&gt;"")*('Assignment Calc'!$H$5:$H$132&lt;=BT$3)*('Assignment Calc'!$I$5:$I$132&gt;=BT$3)*'Assignment Calc'!$K$5:$K$132*'Assignment Calc'!$L$5:$L$132))</f>
        <v>9</v>
      </c>
      <c r="BU7" s="26" t="n">
        <f aca="false">IF(WEEKDAY(BU$3,2)&gt;5,0,SUMPRODUCT(('Assignment Calc'!$D$5:$D$132=$A7)*('Assignment Calc'!$H$5:$H$132&lt;&gt;"")*('Assignment Calc'!$H$5:$H$132&lt;=BU$3)*('Assignment Calc'!$I$5:$I$132&gt;=BU$3)*'Assignment Calc'!$K$5:$K$132*'Assignment Calc'!$L$5:$L$132))</f>
        <v>9</v>
      </c>
      <c r="BV7" s="26" t="n">
        <f aca="false">IF(WEEKDAY(BV$3,2)&gt;5,0,SUMPRODUCT(('Assignment Calc'!$D$5:$D$132=$A7)*('Assignment Calc'!$H$5:$H$132&lt;&gt;"")*('Assignment Calc'!$H$5:$H$132&lt;=BV$3)*('Assignment Calc'!$I$5:$I$132&gt;=BV$3)*'Assignment Calc'!$K$5:$K$132*'Assignment Calc'!$L$5:$L$132))</f>
        <v>9</v>
      </c>
      <c r="BW7" s="26" t="n">
        <f aca="false">IF(WEEKDAY(BW$3,2)&gt;5,0,SUMPRODUCT(('Assignment Calc'!$D$5:$D$132=$A7)*('Assignment Calc'!$H$5:$H$132&lt;&gt;"")*('Assignment Calc'!$H$5:$H$132&lt;=BW$3)*('Assignment Calc'!$I$5:$I$132&gt;=BW$3)*'Assignment Calc'!$K$5:$K$132*'Assignment Calc'!$L$5:$L$132))</f>
        <v>0</v>
      </c>
      <c r="BX7" s="26" t="n">
        <f aca="false">IF(WEEKDAY(BX$3,2)&gt;5,0,SUMPRODUCT(('Assignment Calc'!$D$5:$D$132=$A7)*('Assignment Calc'!$H$5:$H$132&lt;&gt;"")*('Assignment Calc'!$H$5:$H$132&lt;=BX$3)*('Assignment Calc'!$I$5:$I$132&gt;=BX$3)*'Assignment Calc'!$K$5:$K$132*'Assignment Calc'!$L$5:$L$132))</f>
        <v>0</v>
      </c>
      <c r="BY7" s="26" t="n">
        <f aca="false">IF(WEEKDAY(BY$3,2)&gt;5,0,SUMPRODUCT(('Assignment Calc'!$D$5:$D$132=$A7)*('Assignment Calc'!$H$5:$H$132&lt;&gt;"")*('Assignment Calc'!$H$5:$H$132&lt;=BY$3)*('Assignment Calc'!$I$5:$I$132&gt;=BY$3)*'Assignment Calc'!$K$5:$K$132*'Assignment Calc'!$L$5:$L$132))</f>
        <v>2.25</v>
      </c>
      <c r="BZ7" s="26" t="n">
        <f aca="false">IF(WEEKDAY(BZ$3,2)&gt;5,0,SUMPRODUCT(('Assignment Calc'!$D$5:$D$132=$A7)*('Assignment Calc'!$H$5:$H$132&lt;&gt;"")*('Assignment Calc'!$H$5:$H$132&lt;=BZ$3)*('Assignment Calc'!$I$5:$I$132&gt;=BZ$3)*'Assignment Calc'!$K$5:$K$132*'Assignment Calc'!$L$5:$L$132))</f>
        <v>2.25</v>
      </c>
      <c r="CA7" s="26" t="n">
        <f aca="false">IF(WEEKDAY(CA$3,2)&gt;5,0,SUMPRODUCT(('Assignment Calc'!$D$5:$D$132=$A7)*('Assignment Calc'!$H$5:$H$132&lt;&gt;"")*('Assignment Calc'!$H$5:$H$132&lt;=CA$3)*('Assignment Calc'!$I$5:$I$132&gt;=CA$3)*'Assignment Calc'!$K$5:$K$132*'Assignment Calc'!$L$5:$L$132))</f>
        <v>2.25</v>
      </c>
      <c r="CB7" s="26" t="n">
        <f aca="false">IF(WEEKDAY(CB$3,2)&gt;5,0,SUMPRODUCT(('Assignment Calc'!$D$5:$D$132=$A7)*('Assignment Calc'!$H$5:$H$132&lt;&gt;"")*('Assignment Calc'!$H$5:$H$132&lt;=CB$3)*('Assignment Calc'!$I$5:$I$132&gt;=CB$3)*'Assignment Calc'!$K$5:$K$132*'Assignment Calc'!$L$5:$L$132))</f>
        <v>2.25</v>
      </c>
      <c r="CC7" s="26" t="n">
        <f aca="false">IF(WEEKDAY(CC$3,2)&gt;5,0,SUMPRODUCT(('Assignment Calc'!$D$5:$D$132=$A7)*('Assignment Calc'!$H$5:$H$132&lt;&gt;"")*('Assignment Calc'!$H$5:$H$132&lt;=CC$3)*('Assignment Calc'!$I$5:$I$132&gt;=CC$3)*'Assignment Calc'!$K$5:$K$132*'Assignment Calc'!$L$5:$L$132))</f>
        <v>2.25</v>
      </c>
      <c r="CD7" s="26" t="n">
        <f aca="false">IF(WEEKDAY(CD$3,2)&gt;5,0,SUMPRODUCT(('Assignment Calc'!$D$5:$D$132=$A7)*('Assignment Calc'!$H$5:$H$132&lt;&gt;"")*('Assignment Calc'!$H$5:$H$132&lt;=CD$3)*('Assignment Calc'!$I$5:$I$132&gt;=CD$3)*'Assignment Calc'!$K$5:$K$132*'Assignment Calc'!$L$5:$L$132))</f>
        <v>0</v>
      </c>
      <c r="CE7" s="26" t="n">
        <f aca="false">IF(WEEKDAY(CE$3,2)&gt;5,0,SUMPRODUCT(('Assignment Calc'!$D$5:$D$132=$A7)*('Assignment Calc'!$H$5:$H$132&lt;&gt;"")*('Assignment Calc'!$H$5:$H$132&lt;=CE$3)*('Assignment Calc'!$I$5:$I$132&gt;=CE$3)*'Assignment Calc'!$K$5:$K$132*'Assignment Calc'!$L$5:$L$132))</f>
        <v>0</v>
      </c>
      <c r="CF7" s="26" t="n">
        <f aca="false">IF(WEEKDAY(CF$3,2)&gt;5,0,SUMPRODUCT(('Assignment Calc'!$D$5:$D$132=$A7)*('Assignment Calc'!$H$5:$H$132&lt;&gt;"")*('Assignment Calc'!$H$5:$H$132&lt;=CF$3)*('Assignment Calc'!$I$5:$I$132&gt;=CF$3)*'Assignment Calc'!$K$5:$K$132*'Assignment Calc'!$L$5:$L$132))</f>
        <v>0</v>
      </c>
      <c r="CG7" s="26" t="n">
        <f aca="false">IF(WEEKDAY(CG$3,2)&gt;5,0,SUMPRODUCT(('Assignment Calc'!$D$5:$D$132=$A7)*('Assignment Calc'!$H$5:$H$132&lt;&gt;"")*('Assignment Calc'!$H$5:$H$132&lt;=CG$3)*('Assignment Calc'!$I$5:$I$132&gt;=CG$3)*'Assignment Calc'!$K$5:$K$132*'Assignment Calc'!$L$5:$L$132))</f>
        <v>0</v>
      </c>
      <c r="CH7" s="26" t="n">
        <f aca="false">IF(WEEKDAY(CH$3,2)&gt;5,0,SUMPRODUCT(('Assignment Calc'!$D$5:$D$132=$A7)*('Assignment Calc'!$H$5:$H$132&lt;&gt;"")*('Assignment Calc'!$H$5:$H$132&lt;=CH$3)*('Assignment Calc'!$I$5:$I$132&gt;=CH$3)*'Assignment Calc'!$K$5:$K$132*'Assignment Calc'!$L$5:$L$132))</f>
        <v>0</v>
      </c>
      <c r="CI7" s="26" t="n">
        <f aca="false">IF(WEEKDAY(CI$3,2)&gt;5,0,SUMPRODUCT(('Assignment Calc'!$D$5:$D$132=$A7)*('Assignment Calc'!$H$5:$H$132&lt;&gt;"")*('Assignment Calc'!$H$5:$H$132&lt;=CI$3)*('Assignment Calc'!$I$5:$I$132&gt;=CI$3)*'Assignment Calc'!$K$5:$K$132*'Assignment Calc'!$L$5:$L$132))</f>
        <v>0</v>
      </c>
      <c r="CJ7" s="26" t="n">
        <f aca="false">IF(WEEKDAY(CJ$3,2)&gt;5,0,SUMPRODUCT(('Assignment Calc'!$D$5:$D$132=$A7)*('Assignment Calc'!$H$5:$H$132&lt;&gt;"")*('Assignment Calc'!$H$5:$H$132&lt;=CJ$3)*('Assignment Calc'!$I$5:$I$132&gt;=CJ$3)*'Assignment Calc'!$K$5:$K$132*'Assignment Calc'!$L$5:$L$132))</f>
        <v>0</v>
      </c>
      <c r="CK7" s="26" t="n">
        <f aca="false">IF(WEEKDAY(CK$3,2)&gt;5,0,SUMPRODUCT(('Assignment Calc'!$D$5:$D$132=$A7)*('Assignment Calc'!$H$5:$H$132&lt;&gt;"")*('Assignment Calc'!$H$5:$H$132&lt;=CK$3)*('Assignment Calc'!$I$5:$I$132&gt;=CK$3)*'Assignment Calc'!$K$5:$K$132*'Assignment Calc'!$L$5:$L$132))</f>
        <v>0</v>
      </c>
      <c r="CL7" s="26" t="n">
        <f aca="false">IF(WEEKDAY(CL$3,2)&gt;5,0,SUMPRODUCT(('Assignment Calc'!$D$5:$D$132=$A7)*('Assignment Calc'!$H$5:$H$132&lt;&gt;"")*('Assignment Calc'!$H$5:$H$132&lt;=CL$3)*('Assignment Calc'!$I$5:$I$132&gt;=CL$3)*'Assignment Calc'!$K$5:$K$132*'Assignment Calc'!$L$5:$L$132))</f>
        <v>0</v>
      </c>
      <c r="CM7" s="26" t="n">
        <f aca="false">IF(WEEKDAY(CM$3,2)&gt;5,0,SUMPRODUCT(('Assignment Calc'!$D$5:$D$132=$A7)*('Assignment Calc'!$H$5:$H$132&lt;&gt;"")*('Assignment Calc'!$H$5:$H$132&lt;=CM$3)*('Assignment Calc'!$I$5:$I$132&gt;=CM$3)*'Assignment Calc'!$K$5:$K$132*'Assignment Calc'!$L$5:$L$132))</f>
        <v>13.5</v>
      </c>
      <c r="CN7" s="26" t="n">
        <f aca="false">IF(WEEKDAY(CN$3,2)&gt;5,0,SUMPRODUCT(('Assignment Calc'!$D$5:$D$132=$A7)*('Assignment Calc'!$H$5:$H$132&lt;&gt;"")*('Assignment Calc'!$H$5:$H$132&lt;=CN$3)*('Assignment Calc'!$I$5:$I$132&gt;=CN$3)*'Assignment Calc'!$K$5:$K$132*'Assignment Calc'!$L$5:$L$132))</f>
        <v>13.5</v>
      </c>
      <c r="CO7" s="26" t="n">
        <f aca="false">IF(WEEKDAY(CO$3,2)&gt;5,0,SUMPRODUCT(('Assignment Calc'!$D$5:$D$132=$A7)*('Assignment Calc'!$H$5:$H$132&lt;&gt;"")*('Assignment Calc'!$H$5:$H$132&lt;=CO$3)*('Assignment Calc'!$I$5:$I$132&gt;=CO$3)*'Assignment Calc'!$K$5:$K$132*'Assignment Calc'!$L$5:$L$132))</f>
        <v>13.5</v>
      </c>
      <c r="CP7" s="26" t="n">
        <f aca="false">IF(WEEKDAY(CP$3,2)&gt;5,0,SUMPRODUCT(('Assignment Calc'!$D$5:$D$132=$A7)*('Assignment Calc'!$H$5:$H$132&lt;&gt;"")*('Assignment Calc'!$H$5:$H$132&lt;=CP$3)*('Assignment Calc'!$I$5:$I$132&gt;=CP$3)*'Assignment Calc'!$K$5:$K$132*'Assignment Calc'!$L$5:$L$132))</f>
        <v>13.5</v>
      </c>
    </row>
    <row r="8" customFormat="false" ht="15" hidden="false" customHeight="true" outlineLevel="0" collapsed="false">
      <c r="A8" s="2" t="s">
        <v>298</v>
      </c>
      <c r="B8" s="23" t="n">
        <f aca="false">SUM(C8:CP8)</f>
        <v>411</v>
      </c>
      <c r="C8" s="26" t="n">
        <f aca="false">IF(WEEKDAY(C$3,2)&gt;5,0,SUMPRODUCT(('Assignment Calc'!$D$5:$D$132=$A8)*('Assignment Calc'!$H$5:$H$132&lt;&gt;"")*('Assignment Calc'!$H$5:$H$132&lt;=C$3)*('Assignment Calc'!$I$5:$I$132&gt;=C$3)*'Assignment Calc'!$K$5:$K$132*'Assignment Calc'!$L$5:$L$132))</f>
        <v>0</v>
      </c>
      <c r="D8" s="26" t="n">
        <f aca="false">IF(WEEKDAY(D$3,2)&gt;5,0,SUMPRODUCT(('Assignment Calc'!$D$5:$D$132=$A8)*('Assignment Calc'!$H$5:$H$132&lt;&gt;"")*('Assignment Calc'!$H$5:$H$132&lt;=D$3)*('Assignment Calc'!$I$5:$I$132&gt;=D$3)*'Assignment Calc'!$K$5:$K$132*'Assignment Calc'!$L$5:$L$132))</f>
        <v>0</v>
      </c>
      <c r="E8" s="26" t="n">
        <f aca="false">IF(WEEKDAY(E$3,2)&gt;5,0,SUMPRODUCT(('Assignment Calc'!$D$5:$D$132=$A8)*('Assignment Calc'!$H$5:$H$132&lt;&gt;"")*('Assignment Calc'!$H$5:$H$132&lt;=E$3)*('Assignment Calc'!$I$5:$I$132&gt;=E$3)*'Assignment Calc'!$K$5:$K$132*'Assignment Calc'!$L$5:$L$132))</f>
        <v>0</v>
      </c>
      <c r="F8" s="26" t="n">
        <f aca="false">IF(WEEKDAY(F$3,2)&gt;5,0,SUMPRODUCT(('Assignment Calc'!$D$5:$D$132=$A8)*('Assignment Calc'!$H$5:$H$132&lt;&gt;"")*('Assignment Calc'!$H$5:$H$132&lt;=F$3)*('Assignment Calc'!$I$5:$I$132&gt;=F$3)*'Assignment Calc'!$K$5:$K$132*'Assignment Calc'!$L$5:$L$132))</f>
        <v>0</v>
      </c>
      <c r="G8" s="26" t="n">
        <f aca="false">IF(WEEKDAY(G$3,2)&gt;5,0,SUMPRODUCT(('Assignment Calc'!$D$5:$D$132=$A8)*('Assignment Calc'!$H$5:$H$132&lt;&gt;"")*('Assignment Calc'!$H$5:$H$132&lt;=G$3)*('Assignment Calc'!$I$5:$I$132&gt;=G$3)*'Assignment Calc'!$K$5:$K$132*'Assignment Calc'!$L$5:$L$132))</f>
        <v>10.5</v>
      </c>
      <c r="H8" s="26" t="n">
        <f aca="false">IF(WEEKDAY(H$3,2)&gt;5,0,SUMPRODUCT(('Assignment Calc'!$D$5:$D$132=$A8)*('Assignment Calc'!$H$5:$H$132&lt;&gt;"")*('Assignment Calc'!$H$5:$H$132&lt;=H$3)*('Assignment Calc'!$I$5:$I$132&gt;=H$3)*'Assignment Calc'!$K$5:$K$132*'Assignment Calc'!$L$5:$L$132))</f>
        <v>10.5</v>
      </c>
      <c r="I8" s="26" t="n">
        <f aca="false">IF(WEEKDAY(I$3,2)&gt;5,0,SUMPRODUCT(('Assignment Calc'!$D$5:$D$132=$A8)*('Assignment Calc'!$H$5:$H$132&lt;&gt;"")*('Assignment Calc'!$H$5:$H$132&lt;=I$3)*('Assignment Calc'!$I$5:$I$132&gt;=I$3)*'Assignment Calc'!$K$5:$K$132*'Assignment Calc'!$L$5:$L$132))</f>
        <v>10.5</v>
      </c>
      <c r="J8" s="26" t="n">
        <f aca="false">IF(WEEKDAY(J$3,2)&gt;5,0,SUMPRODUCT(('Assignment Calc'!$D$5:$D$132=$A8)*('Assignment Calc'!$H$5:$H$132&lt;&gt;"")*('Assignment Calc'!$H$5:$H$132&lt;=J$3)*('Assignment Calc'!$I$5:$I$132&gt;=J$3)*'Assignment Calc'!$K$5:$K$132*'Assignment Calc'!$L$5:$L$132))</f>
        <v>10.5</v>
      </c>
      <c r="K8" s="26" t="n">
        <f aca="false">IF(WEEKDAY(K$3,2)&gt;5,0,SUMPRODUCT(('Assignment Calc'!$D$5:$D$132=$A8)*('Assignment Calc'!$H$5:$H$132&lt;&gt;"")*('Assignment Calc'!$H$5:$H$132&lt;=K$3)*('Assignment Calc'!$I$5:$I$132&gt;=K$3)*'Assignment Calc'!$K$5:$K$132*'Assignment Calc'!$L$5:$L$132))</f>
        <v>10.5</v>
      </c>
      <c r="L8" s="26" t="n">
        <f aca="false">IF(WEEKDAY(L$3,2)&gt;5,0,SUMPRODUCT(('Assignment Calc'!$D$5:$D$132=$A8)*('Assignment Calc'!$H$5:$H$132&lt;&gt;"")*('Assignment Calc'!$H$5:$H$132&lt;=L$3)*('Assignment Calc'!$I$5:$I$132&gt;=L$3)*'Assignment Calc'!$K$5:$K$132*'Assignment Calc'!$L$5:$L$132))</f>
        <v>0</v>
      </c>
      <c r="M8" s="26" t="n">
        <f aca="false">IF(WEEKDAY(M$3,2)&gt;5,0,SUMPRODUCT(('Assignment Calc'!$D$5:$D$132=$A8)*('Assignment Calc'!$H$5:$H$132&lt;&gt;"")*('Assignment Calc'!$H$5:$H$132&lt;=M$3)*('Assignment Calc'!$I$5:$I$132&gt;=M$3)*'Assignment Calc'!$K$5:$K$132*'Assignment Calc'!$L$5:$L$132))</f>
        <v>0</v>
      </c>
      <c r="N8" s="26" t="n">
        <f aca="false">IF(WEEKDAY(N$3,2)&gt;5,0,SUMPRODUCT(('Assignment Calc'!$D$5:$D$132=$A8)*('Assignment Calc'!$H$5:$H$132&lt;&gt;"")*('Assignment Calc'!$H$5:$H$132&lt;=N$3)*('Assignment Calc'!$I$5:$I$132&gt;=N$3)*'Assignment Calc'!$K$5:$K$132*'Assignment Calc'!$L$5:$L$132))</f>
        <v>9</v>
      </c>
      <c r="O8" s="26" t="n">
        <f aca="false">IF(WEEKDAY(O$3,2)&gt;5,0,SUMPRODUCT(('Assignment Calc'!$D$5:$D$132=$A8)*('Assignment Calc'!$H$5:$H$132&lt;&gt;"")*('Assignment Calc'!$H$5:$H$132&lt;=O$3)*('Assignment Calc'!$I$5:$I$132&gt;=O$3)*'Assignment Calc'!$K$5:$K$132*'Assignment Calc'!$L$5:$L$132))</f>
        <v>9</v>
      </c>
      <c r="P8" s="26" t="n">
        <f aca="false">IF(WEEKDAY(P$3,2)&gt;5,0,SUMPRODUCT(('Assignment Calc'!$D$5:$D$132=$A8)*('Assignment Calc'!$H$5:$H$132&lt;&gt;"")*('Assignment Calc'!$H$5:$H$132&lt;=P$3)*('Assignment Calc'!$I$5:$I$132&gt;=P$3)*'Assignment Calc'!$K$5:$K$132*'Assignment Calc'!$L$5:$L$132))</f>
        <v>9</v>
      </c>
      <c r="Q8" s="26" t="n">
        <f aca="false">IF(WEEKDAY(Q$3,2)&gt;5,0,SUMPRODUCT(('Assignment Calc'!$D$5:$D$132=$A8)*('Assignment Calc'!$H$5:$H$132&lt;&gt;"")*('Assignment Calc'!$H$5:$H$132&lt;=Q$3)*('Assignment Calc'!$I$5:$I$132&gt;=Q$3)*'Assignment Calc'!$K$5:$K$132*'Assignment Calc'!$L$5:$L$132))</f>
        <v>9</v>
      </c>
      <c r="R8" s="26" t="n">
        <f aca="false">IF(WEEKDAY(R$3,2)&gt;5,0,SUMPRODUCT(('Assignment Calc'!$D$5:$D$132=$A8)*('Assignment Calc'!$H$5:$H$132&lt;&gt;"")*('Assignment Calc'!$H$5:$H$132&lt;=R$3)*('Assignment Calc'!$I$5:$I$132&gt;=R$3)*'Assignment Calc'!$K$5:$K$132*'Assignment Calc'!$L$5:$L$132))</f>
        <v>9</v>
      </c>
      <c r="S8" s="26" t="n">
        <f aca="false">IF(WEEKDAY(S$3,2)&gt;5,0,SUMPRODUCT(('Assignment Calc'!$D$5:$D$132=$A8)*('Assignment Calc'!$H$5:$H$132&lt;&gt;"")*('Assignment Calc'!$H$5:$H$132&lt;=S$3)*('Assignment Calc'!$I$5:$I$132&gt;=S$3)*'Assignment Calc'!$K$5:$K$132*'Assignment Calc'!$L$5:$L$132))</f>
        <v>0</v>
      </c>
      <c r="T8" s="26" t="n">
        <f aca="false">IF(WEEKDAY(T$3,2)&gt;5,0,SUMPRODUCT(('Assignment Calc'!$D$5:$D$132=$A8)*('Assignment Calc'!$H$5:$H$132&lt;&gt;"")*('Assignment Calc'!$H$5:$H$132&lt;=T$3)*('Assignment Calc'!$I$5:$I$132&gt;=T$3)*'Assignment Calc'!$K$5:$K$132*'Assignment Calc'!$L$5:$L$132))</f>
        <v>0</v>
      </c>
      <c r="U8" s="26" t="n">
        <f aca="false">IF(WEEKDAY(U$3,2)&gt;5,0,SUMPRODUCT(('Assignment Calc'!$D$5:$D$132=$A8)*('Assignment Calc'!$H$5:$H$132&lt;&gt;"")*('Assignment Calc'!$H$5:$H$132&lt;=U$3)*('Assignment Calc'!$I$5:$I$132&gt;=U$3)*'Assignment Calc'!$K$5:$K$132*'Assignment Calc'!$L$5:$L$132))</f>
        <v>4.5</v>
      </c>
      <c r="V8" s="26" t="n">
        <f aca="false">IF(WEEKDAY(V$3,2)&gt;5,0,SUMPRODUCT(('Assignment Calc'!$D$5:$D$132=$A8)*('Assignment Calc'!$H$5:$H$132&lt;&gt;"")*('Assignment Calc'!$H$5:$H$132&lt;=V$3)*('Assignment Calc'!$I$5:$I$132&gt;=V$3)*'Assignment Calc'!$K$5:$K$132*'Assignment Calc'!$L$5:$L$132))</f>
        <v>4.5</v>
      </c>
      <c r="W8" s="26" t="n">
        <f aca="false">IF(WEEKDAY(W$3,2)&gt;5,0,SUMPRODUCT(('Assignment Calc'!$D$5:$D$132=$A8)*('Assignment Calc'!$H$5:$H$132&lt;&gt;"")*('Assignment Calc'!$H$5:$H$132&lt;=W$3)*('Assignment Calc'!$I$5:$I$132&gt;=W$3)*'Assignment Calc'!$K$5:$K$132*'Assignment Calc'!$L$5:$L$132))</f>
        <v>4.5</v>
      </c>
      <c r="X8" s="26" t="n">
        <f aca="false">IF(WEEKDAY(X$3,2)&gt;5,0,SUMPRODUCT(('Assignment Calc'!$D$5:$D$132=$A8)*('Assignment Calc'!$H$5:$H$132&lt;&gt;"")*('Assignment Calc'!$H$5:$H$132&lt;=X$3)*('Assignment Calc'!$I$5:$I$132&gt;=X$3)*'Assignment Calc'!$K$5:$K$132*'Assignment Calc'!$L$5:$L$132))</f>
        <v>4.5</v>
      </c>
      <c r="Y8" s="26" t="n">
        <f aca="false">IF(WEEKDAY(Y$3,2)&gt;5,0,SUMPRODUCT(('Assignment Calc'!$D$5:$D$132=$A8)*('Assignment Calc'!$H$5:$H$132&lt;&gt;"")*('Assignment Calc'!$H$5:$H$132&lt;=Y$3)*('Assignment Calc'!$I$5:$I$132&gt;=Y$3)*'Assignment Calc'!$K$5:$K$132*'Assignment Calc'!$L$5:$L$132))</f>
        <v>4.5</v>
      </c>
      <c r="Z8" s="26" t="n">
        <f aca="false">IF(WEEKDAY(Z$3,2)&gt;5,0,SUMPRODUCT(('Assignment Calc'!$D$5:$D$132=$A8)*('Assignment Calc'!$H$5:$H$132&lt;&gt;"")*('Assignment Calc'!$H$5:$H$132&lt;=Z$3)*('Assignment Calc'!$I$5:$I$132&gt;=Z$3)*'Assignment Calc'!$K$5:$K$132*'Assignment Calc'!$L$5:$L$132))</f>
        <v>0</v>
      </c>
      <c r="AA8" s="26" t="n">
        <f aca="false">IF(WEEKDAY(AA$3,2)&gt;5,0,SUMPRODUCT(('Assignment Calc'!$D$5:$D$132=$A8)*('Assignment Calc'!$H$5:$H$132&lt;&gt;"")*('Assignment Calc'!$H$5:$H$132&lt;=AA$3)*('Assignment Calc'!$I$5:$I$132&gt;=AA$3)*'Assignment Calc'!$K$5:$K$132*'Assignment Calc'!$L$5:$L$132))</f>
        <v>0</v>
      </c>
      <c r="AB8" s="26" t="n">
        <f aca="false">IF(WEEKDAY(AB$3,2)&gt;5,0,SUMPRODUCT(('Assignment Calc'!$D$5:$D$132=$A8)*('Assignment Calc'!$H$5:$H$132&lt;&gt;"")*('Assignment Calc'!$H$5:$H$132&lt;=AB$3)*('Assignment Calc'!$I$5:$I$132&gt;=AB$3)*'Assignment Calc'!$K$5:$K$132*'Assignment Calc'!$L$5:$L$132))</f>
        <v>0</v>
      </c>
      <c r="AC8" s="26" t="n">
        <f aca="false">IF(WEEKDAY(AC$3,2)&gt;5,0,SUMPRODUCT(('Assignment Calc'!$D$5:$D$132=$A8)*('Assignment Calc'!$H$5:$H$132&lt;&gt;"")*('Assignment Calc'!$H$5:$H$132&lt;=AC$3)*('Assignment Calc'!$I$5:$I$132&gt;=AC$3)*'Assignment Calc'!$K$5:$K$132*'Assignment Calc'!$L$5:$L$132))</f>
        <v>0</v>
      </c>
      <c r="AD8" s="26" t="n">
        <f aca="false">IF(WEEKDAY(AD$3,2)&gt;5,0,SUMPRODUCT(('Assignment Calc'!$D$5:$D$132=$A8)*('Assignment Calc'!$H$5:$H$132&lt;&gt;"")*('Assignment Calc'!$H$5:$H$132&lt;=AD$3)*('Assignment Calc'!$I$5:$I$132&gt;=AD$3)*'Assignment Calc'!$K$5:$K$132*'Assignment Calc'!$L$5:$L$132))</f>
        <v>0</v>
      </c>
      <c r="AE8" s="26" t="n">
        <f aca="false">IF(WEEKDAY(AE$3,2)&gt;5,0,SUMPRODUCT(('Assignment Calc'!$D$5:$D$132=$A8)*('Assignment Calc'!$H$5:$H$132&lt;&gt;"")*('Assignment Calc'!$H$5:$H$132&lt;=AE$3)*('Assignment Calc'!$I$5:$I$132&gt;=AE$3)*'Assignment Calc'!$K$5:$K$132*'Assignment Calc'!$L$5:$L$132))</f>
        <v>0</v>
      </c>
      <c r="AF8" s="26" t="n">
        <f aca="false">IF(WEEKDAY(AF$3,2)&gt;5,0,SUMPRODUCT(('Assignment Calc'!$D$5:$D$132=$A8)*('Assignment Calc'!$H$5:$H$132&lt;&gt;"")*('Assignment Calc'!$H$5:$H$132&lt;=AF$3)*('Assignment Calc'!$I$5:$I$132&gt;=AF$3)*'Assignment Calc'!$K$5:$K$132*'Assignment Calc'!$L$5:$L$132))</f>
        <v>0</v>
      </c>
      <c r="AG8" s="26" t="n">
        <f aca="false">IF(WEEKDAY(AG$3,2)&gt;5,0,SUMPRODUCT(('Assignment Calc'!$D$5:$D$132=$A8)*('Assignment Calc'!$H$5:$H$132&lt;&gt;"")*('Assignment Calc'!$H$5:$H$132&lt;=AG$3)*('Assignment Calc'!$I$5:$I$132&gt;=AG$3)*'Assignment Calc'!$K$5:$K$132*'Assignment Calc'!$L$5:$L$132))</f>
        <v>0</v>
      </c>
      <c r="AH8" s="26" t="n">
        <f aca="false">IF(WEEKDAY(AH$3,2)&gt;5,0,SUMPRODUCT(('Assignment Calc'!$D$5:$D$132=$A8)*('Assignment Calc'!$H$5:$H$132&lt;&gt;"")*('Assignment Calc'!$H$5:$H$132&lt;=AH$3)*('Assignment Calc'!$I$5:$I$132&gt;=AH$3)*'Assignment Calc'!$K$5:$K$132*'Assignment Calc'!$L$5:$L$132))</f>
        <v>0</v>
      </c>
      <c r="AI8" s="26" t="n">
        <f aca="false">IF(WEEKDAY(AI$3,2)&gt;5,0,SUMPRODUCT(('Assignment Calc'!$D$5:$D$132=$A8)*('Assignment Calc'!$H$5:$H$132&lt;&gt;"")*('Assignment Calc'!$H$5:$H$132&lt;=AI$3)*('Assignment Calc'!$I$5:$I$132&gt;=AI$3)*'Assignment Calc'!$K$5:$K$132*'Assignment Calc'!$L$5:$L$132))</f>
        <v>9</v>
      </c>
      <c r="AJ8" s="26" t="n">
        <f aca="false">IF(WEEKDAY(AJ$3,2)&gt;5,0,SUMPRODUCT(('Assignment Calc'!$D$5:$D$132=$A8)*('Assignment Calc'!$H$5:$H$132&lt;&gt;"")*('Assignment Calc'!$H$5:$H$132&lt;=AJ$3)*('Assignment Calc'!$I$5:$I$132&gt;=AJ$3)*'Assignment Calc'!$K$5:$K$132*'Assignment Calc'!$L$5:$L$132))</f>
        <v>9</v>
      </c>
      <c r="AK8" s="26" t="n">
        <f aca="false">IF(WEEKDAY(AK$3,2)&gt;5,0,SUMPRODUCT(('Assignment Calc'!$D$5:$D$132=$A8)*('Assignment Calc'!$H$5:$H$132&lt;&gt;"")*('Assignment Calc'!$H$5:$H$132&lt;=AK$3)*('Assignment Calc'!$I$5:$I$132&gt;=AK$3)*'Assignment Calc'!$K$5:$K$132*'Assignment Calc'!$L$5:$L$132))</f>
        <v>9</v>
      </c>
      <c r="AL8" s="26" t="n">
        <f aca="false">IF(WEEKDAY(AL$3,2)&gt;5,0,SUMPRODUCT(('Assignment Calc'!$D$5:$D$132=$A8)*('Assignment Calc'!$H$5:$H$132&lt;&gt;"")*('Assignment Calc'!$H$5:$H$132&lt;=AL$3)*('Assignment Calc'!$I$5:$I$132&gt;=AL$3)*'Assignment Calc'!$K$5:$K$132*'Assignment Calc'!$L$5:$L$132))</f>
        <v>9</v>
      </c>
      <c r="AM8" s="26" t="n">
        <f aca="false">IF(WEEKDAY(AM$3,2)&gt;5,0,SUMPRODUCT(('Assignment Calc'!$D$5:$D$132=$A8)*('Assignment Calc'!$H$5:$H$132&lt;&gt;"")*('Assignment Calc'!$H$5:$H$132&lt;=AM$3)*('Assignment Calc'!$I$5:$I$132&gt;=AM$3)*'Assignment Calc'!$K$5:$K$132*'Assignment Calc'!$L$5:$L$132))</f>
        <v>9</v>
      </c>
      <c r="AN8" s="26" t="n">
        <f aca="false">IF(WEEKDAY(AN$3,2)&gt;5,0,SUMPRODUCT(('Assignment Calc'!$D$5:$D$132=$A8)*('Assignment Calc'!$H$5:$H$132&lt;&gt;"")*('Assignment Calc'!$H$5:$H$132&lt;=AN$3)*('Assignment Calc'!$I$5:$I$132&gt;=AN$3)*'Assignment Calc'!$K$5:$K$132*'Assignment Calc'!$L$5:$L$132))</f>
        <v>0</v>
      </c>
      <c r="AO8" s="26" t="n">
        <f aca="false">IF(WEEKDAY(AO$3,2)&gt;5,0,SUMPRODUCT(('Assignment Calc'!$D$5:$D$132=$A8)*('Assignment Calc'!$H$5:$H$132&lt;&gt;"")*('Assignment Calc'!$H$5:$H$132&lt;=AO$3)*('Assignment Calc'!$I$5:$I$132&gt;=AO$3)*'Assignment Calc'!$K$5:$K$132*'Assignment Calc'!$L$5:$L$132))</f>
        <v>0</v>
      </c>
      <c r="AP8" s="26" t="n">
        <f aca="false">IF(WEEKDAY(AP$3,2)&gt;5,0,SUMPRODUCT(('Assignment Calc'!$D$5:$D$132=$A8)*('Assignment Calc'!$H$5:$H$132&lt;&gt;"")*('Assignment Calc'!$H$5:$H$132&lt;=AP$3)*('Assignment Calc'!$I$5:$I$132&gt;=AP$3)*'Assignment Calc'!$K$5:$K$132*'Assignment Calc'!$L$5:$L$132))</f>
        <v>8.5</v>
      </c>
      <c r="AQ8" s="26" t="n">
        <f aca="false">IF(WEEKDAY(AQ$3,2)&gt;5,0,SUMPRODUCT(('Assignment Calc'!$D$5:$D$132=$A8)*('Assignment Calc'!$H$5:$H$132&lt;&gt;"")*('Assignment Calc'!$H$5:$H$132&lt;=AQ$3)*('Assignment Calc'!$I$5:$I$132&gt;=AQ$3)*'Assignment Calc'!$K$5:$K$132*'Assignment Calc'!$L$5:$L$132))</f>
        <v>8.5</v>
      </c>
      <c r="AR8" s="26" t="n">
        <f aca="false">IF(WEEKDAY(AR$3,2)&gt;5,0,SUMPRODUCT(('Assignment Calc'!$D$5:$D$132=$A8)*('Assignment Calc'!$H$5:$H$132&lt;&gt;"")*('Assignment Calc'!$H$5:$H$132&lt;=AR$3)*('Assignment Calc'!$I$5:$I$132&gt;=AR$3)*'Assignment Calc'!$K$5:$K$132*'Assignment Calc'!$L$5:$L$132))</f>
        <v>8.5</v>
      </c>
      <c r="AS8" s="26" t="n">
        <f aca="false">IF(WEEKDAY(AS$3,2)&gt;5,0,SUMPRODUCT(('Assignment Calc'!$D$5:$D$132=$A8)*('Assignment Calc'!$H$5:$H$132&lt;&gt;"")*('Assignment Calc'!$H$5:$H$132&lt;=AS$3)*('Assignment Calc'!$I$5:$I$132&gt;=AS$3)*'Assignment Calc'!$K$5:$K$132*'Assignment Calc'!$L$5:$L$132))</f>
        <v>8.5</v>
      </c>
      <c r="AT8" s="26" t="n">
        <f aca="false">IF(WEEKDAY(AT$3,2)&gt;5,0,SUMPRODUCT(('Assignment Calc'!$D$5:$D$132=$A8)*('Assignment Calc'!$H$5:$H$132&lt;&gt;"")*('Assignment Calc'!$H$5:$H$132&lt;=AT$3)*('Assignment Calc'!$I$5:$I$132&gt;=AT$3)*'Assignment Calc'!$K$5:$K$132*'Assignment Calc'!$L$5:$L$132))</f>
        <v>8.5</v>
      </c>
      <c r="AU8" s="26" t="n">
        <f aca="false">IF(WEEKDAY(AU$3,2)&gt;5,0,SUMPRODUCT(('Assignment Calc'!$D$5:$D$132=$A8)*('Assignment Calc'!$H$5:$H$132&lt;&gt;"")*('Assignment Calc'!$H$5:$H$132&lt;=AU$3)*('Assignment Calc'!$I$5:$I$132&gt;=AU$3)*'Assignment Calc'!$K$5:$K$132*'Assignment Calc'!$L$5:$L$132))</f>
        <v>0</v>
      </c>
      <c r="AV8" s="26" t="n">
        <f aca="false">IF(WEEKDAY(AV$3,2)&gt;5,0,SUMPRODUCT(('Assignment Calc'!$D$5:$D$132=$A8)*('Assignment Calc'!$H$5:$H$132&lt;&gt;"")*('Assignment Calc'!$H$5:$H$132&lt;=AV$3)*('Assignment Calc'!$I$5:$I$132&gt;=AV$3)*'Assignment Calc'!$K$5:$K$132*'Assignment Calc'!$L$5:$L$132))</f>
        <v>0</v>
      </c>
      <c r="AW8" s="26" t="n">
        <f aca="false">IF(WEEKDAY(AW$3,2)&gt;5,0,SUMPRODUCT(('Assignment Calc'!$D$5:$D$132=$A8)*('Assignment Calc'!$H$5:$H$132&lt;&gt;"")*('Assignment Calc'!$H$5:$H$132&lt;=AW$3)*('Assignment Calc'!$I$5:$I$132&gt;=AW$3)*'Assignment Calc'!$K$5:$K$132*'Assignment Calc'!$L$5:$L$132))</f>
        <v>0</v>
      </c>
      <c r="AX8" s="26" t="n">
        <f aca="false">IF(WEEKDAY(AX$3,2)&gt;5,0,SUMPRODUCT(('Assignment Calc'!$D$5:$D$132=$A8)*('Assignment Calc'!$H$5:$H$132&lt;&gt;"")*('Assignment Calc'!$H$5:$H$132&lt;=AX$3)*('Assignment Calc'!$I$5:$I$132&gt;=AX$3)*'Assignment Calc'!$K$5:$K$132*'Assignment Calc'!$L$5:$L$132))</f>
        <v>0</v>
      </c>
      <c r="AY8" s="26" t="n">
        <f aca="false">IF(WEEKDAY(AY$3,2)&gt;5,0,SUMPRODUCT(('Assignment Calc'!$D$5:$D$132=$A8)*('Assignment Calc'!$H$5:$H$132&lt;&gt;"")*('Assignment Calc'!$H$5:$H$132&lt;=AY$3)*('Assignment Calc'!$I$5:$I$132&gt;=AY$3)*'Assignment Calc'!$K$5:$K$132*'Assignment Calc'!$L$5:$L$132))</f>
        <v>0</v>
      </c>
      <c r="AZ8" s="26" t="n">
        <f aca="false">IF(WEEKDAY(AZ$3,2)&gt;5,0,SUMPRODUCT(('Assignment Calc'!$D$5:$D$132=$A8)*('Assignment Calc'!$H$5:$H$132&lt;&gt;"")*('Assignment Calc'!$H$5:$H$132&lt;=AZ$3)*('Assignment Calc'!$I$5:$I$132&gt;=AZ$3)*'Assignment Calc'!$K$5:$K$132*'Assignment Calc'!$L$5:$L$132))</f>
        <v>0</v>
      </c>
      <c r="BA8" s="26" t="n">
        <f aca="false">IF(WEEKDAY(BA$3,2)&gt;5,0,SUMPRODUCT(('Assignment Calc'!$D$5:$D$132=$A8)*('Assignment Calc'!$H$5:$H$132&lt;&gt;"")*('Assignment Calc'!$H$5:$H$132&lt;=BA$3)*('Assignment Calc'!$I$5:$I$132&gt;=BA$3)*'Assignment Calc'!$K$5:$K$132*'Assignment Calc'!$L$5:$L$132))</f>
        <v>0</v>
      </c>
      <c r="BB8" s="26" t="n">
        <f aca="false">IF(WEEKDAY(BB$3,2)&gt;5,0,SUMPRODUCT(('Assignment Calc'!$D$5:$D$132=$A8)*('Assignment Calc'!$H$5:$H$132&lt;&gt;"")*('Assignment Calc'!$H$5:$H$132&lt;=BB$3)*('Assignment Calc'!$I$5:$I$132&gt;=BB$3)*'Assignment Calc'!$K$5:$K$132*'Assignment Calc'!$L$5:$L$132))</f>
        <v>0</v>
      </c>
      <c r="BC8" s="26" t="n">
        <f aca="false">IF(WEEKDAY(BC$3,2)&gt;5,0,SUMPRODUCT(('Assignment Calc'!$D$5:$D$132=$A8)*('Assignment Calc'!$H$5:$H$132&lt;&gt;"")*('Assignment Calc'!$H$5:$H$132&lt;=BC$3)*('Assignment Calc'!$I$5:$I$132&gt;=BC$3)*'Assignment Calc'!$K$5:$K$132*'Assignment Calc'!$L$5:$L$132))</f>
        <v>0</v>
      </c>
      <c r="BD8" s="26" t="n">
        <f aca="false">IF(WEEKDAY(BD$3,2)&gt;5,0,SUMPRODUCT(('Assignment Calc'!$D$5:$D$132=$A8)*('Assignment Calc'!$H$5:$H$132&lt;&gt;"")*('Assignment Calc'!$H$5:$H$132&lt;=BD$3)*('Assignment Calc'!$I$5:$I$132&gt;=BD$3)*'Assignment Calc'!$K$5:$K$132*'Assignment Calc'!$L$5:$L$132))</f>
        <v>9.5</v>
      </c>
      <c r="BE8" s="26" t="n">
        <f aca="false">IF(WEEKDAY(BE$3,2)&gt;5,0,SUMPRODUCT(('Assignment Calc'!$D$5:$D$132=$A8)*('Assignment Calc'!$H$5:$H$132&lt;&gt;"")*('Assignment Calc'!$H$5:$H$132&lt;=BE$3)*('Assignment Calc'!$I$5:$I$132&gt;=BE$3)*'Assignment Calc'!$K$5:$K$132*'Assignment Calc'!$L$5:$L$132))</f>
        <v>9.5</v>
      </c>
      <c r="BF8" s="26" t="n">
        <f aca="false">IF(WEEKDAY(BF$3,2)&gt;5,0,SUMPRODUCT(('Assignment Calc'!$D$5:$D$132=$A8)*('Assignment Calc'!$H$5:$H$132&lt;&gt;"")*('Assignment Calc'!$H$5:$H$132&lt;=BF$3)*('Assignment Calc'!$I$5:$I$132&gt;=BF$3)*'Assignment Calc'!$K$5:$K$132*'Assignment Calc'!$L$5:$L$132))</f>
        <v>9.5</v>
      </c>
      <c r="BG8" s="26" t="n">
        <f aca="false">IF(WEEKDAY(BG$3,2)&gt;5,0,SUMPRODUCT(('Assignment Calc'!$D$5:$D$132=$A8)*('Assignment Calc'!$H$5:$H$132&lt;&gt;"")*('Assignment Calc'!$H$5:$H$132&lt;=BG$3)*('Assignment Calc'!$I$5:$I$132&gt;=BG$3)*'Assignment Calc'!$K$5:$K$132*'Assignment Calc'!$L$5:$L$132))</f>
        <v>9.5</v>
      </c>
      <c r="BH8" s="26" t="n">
        <f aca="false">IF(WEEKDAY(BH$3,2)&gt;5,0,SUMPRODUCT(('Assignment Calc'!$D$5:$D$132=$A8)*('Assignment Calc'!$H$5:$H$132&lt;&gt;"")*('Assignment Calc'!$H$5:$H$132&lt;=BH$3)*('Assignment Calc'!$I$5:$I$132&gt;=BH$3)*'Assignment Calc'!$K$5:$K$132*'Assignment Calc'!$L$5:$L$132))</f>
        <v>9.5</v>
      </c>
      <c r="BI8" s="26" t="n">
        <f aca="false">IF(WEEKDAY(BI$3,2)&gt;5,0,SUMPRODUCT(('Assignment Calc'!$D$5:$D$132=$A8)*('Assignment Calc'!$H$5:$H$132&lt;&gt;"")*('Assignment Calc'!$H$5:$H$132&lt;=BI$3)*('Assignment Calc'!$I$5:$I$132&gt;=BI$3)*'Assignment Calc'!$K$5:$K$132*'Assignment Calc'!$L$5:$L$132))</f>
        <v>0</v>
      </c>
      <c r="BJ8" s="26" t="n">
        <f aca="false">IF(WEEKDAY(BJ$3,2)&gt;5,0,SUMPRODUCT(('Assignment Calc'!$D$5:$D$132=$A8)*('Assignment Calc'!$H$5:$H$132&lt;&gt;"")*('Assignment Calc'!$H$5:$H$132&lt;=BJ$3)*('Assignment Calc'!$I$5:$I$132&gt;=BJ$3)*'Assignment Calc'!$K$5:$K$132*'Assignment Calc'!$L$5:$L$132))</f>
        <v>0</v>
      </c>
      <c r="BK8" s="26" t="n">
        <f aca="false">IF(WEEKDAY(BK$3,2)&gt;5,0,SUMPRODUCT(('Assignment Calc'!$D$5:$D$132=$A8)*('Assignment Calc'!$H$5:$H$132&lt;&gt;"")*('Assignment Calc'!$H$5:$H$132&lt;=BK$3)*('Assignment Calc'!$I$5:$I$132&gt;=BK$3)*'Assignment Calc'!$K$5:$K$132*'Assignment Calc'!$L$5:$L$132))</f>
        <v>9</v>
      </c>
      <c r="BL8" s="26" t="n">
        <f aca="false">IF(WEEKDAY(BL$3,2)&gt;5,0,SUMPRODUCT(('Assignment Calc'!$D$5:$D$132=$A8)*('Assignment Calc'!$H$5:$H$132&lt;&gt;"")*('Assignment Calc'!$H$5:$H$132&lt;=BL$3)*('Assignment Calc'!$I$5:$I$132&gt;=BL$3)*'Assignment Calc'!$K$5:$K$132*'Assignment Calc'!$L$5:$L$132))</f>
        <v>9</v>
      </c>
      <c r="BM8" s="26" t="n">
        <f aca="false">IF(WEEKDAY(BM$3,2)&gt;5,0,SUMPRODUCT(('Assignment Calc'!$D$5:$D$132=$A8)*('Assignment Calc'!$H$5:$H$132&lt;&gt;"")*('Assignment Calc'!$H$5:$H$132&lt;=BM$3)*('Assignment Calc'!$I$5:$I$132&gt;=BM$3)*'Assignment Calc'!$K$5:$K$132*'Assignment Calc'!$L$5:$L$132))</f>
        <v>9</v>
      </c>
      <c r="BN8" s="26" t="n">
        <f aca="false">IF(WEEKDAY(BN$3,2)&gt;5,0,SUMPRODUCT(('Assignment Calc'!$D$5:$D$132=$A8)*('Assignment Calc'!$H$5:$H$132&lt;&gt;"")*('Assignment Calc'!$H$5:$H$132&lt;=BN$3)*('Assignment Calc'!$I$5:$I$132&gt;=BN$3)*'Assignment Calc'!$K$5:$K$132*'Assignment Calc'!$L$5:$L$132))</f>
        <v>9</v>
      </c>
      <c r="BO8" s="26" t="n">
        <f aca="false">IF(WEEKDAY(BO$3,2)&gt;5,0,SUMPRODUCT(('Assignment Calc'!$D$5:$D$132=$A8)*('Assignment Calc'!$H$5:$H$132&lt;&gt;"")*('Assignment Calc'!$H$5:$H$132&lt;=BO$3)*('Assignment Calc'!$I$5:$I$132&gt;=BO$3)*'Assignment Calc'!$K$5:$K$132*'Assignment Calc'!$L$5:$L$132))</f>
        <v>9</v>
      </c>
      <c r="BP8" s="26" t="n">
        <f aca="false">IF(WEEKDAY(BP$3,2)&gt;5,0,SUMPRODUCT(('Assignment Calc'!$D$5:$D$132=$A8)*('Assignment Calc'!$H$5:$H$132&lt;&gt;"")*('Assignment Calc'!$H$5:$H$132&lt;=BP$3)*('Assignment Calc'!$I$5:$I$132&gt;=BP$3)*'Assignment Calc'!$K$5:$K$132*'Assignment Calc'!$L$5:$L$132))</f>
        <v>0</v>
      </c>
      <c r="BQ8" s="26" t="n">
        <f aca="false">IF(WEEKDAY(BQ$3,2)&gt;5,0,SUMPRODUCT(('Assignment Calc'!$D$5:$D$132=$A8)*('Assignment Calc'!$H$5:$H$132&lt;&gt;"")*('Assignment Calc'!$H$5:$H$132&lt;=BQ$3)*('Assignment Calc'!$I$5:$I$132&gt;=BQ$3)*'Assignment Calc'!$K$5:$K$132*'Assignment Calc'!$L$5:$L$132))</f>
        <v>0</v>
      </c>
      <c r="BR8" s="26" t="n">
        <f aca="false">IF(WEEKDAY(BR$3,2)&gt;5,0,SUMPRODUCT(('Assignment Calc'!$D$5:$D$132=$A8)*('Assignment Calc'!$H$5:$H$132&lt;&gt;"")*('Assignment Calc'!$H$5:$H$132&lt;=BR$3)*('Assignment Calc'!$I$5:$I$132&gt;=BR$3)*'Assignment Calc'!$K$5:$K$132*'Assignment Calc'!$L$5:$L$132))</f>
        <v>3</v>
      </c>
      <c r="BS8" s="26" t="n">
        <f aca="false">IF(WEEKDAY(BS$3,2)&gt;5,0,SUMPRODUCT(('Assignment Calc'!$D$5:$D$132=$A8)*('Assignment Calc'!$H$5:$H$132&lt;&gt;"")*('Assignment Calc'!$H$5:$H$132&lt;=BS$3)*('Assignment Calc'!$I$5:$I$132&gt;=BS$3)*'Assignment Calc'!$K$5:$K$132*'Assignment Calc'!$L$5:$L$132))</f>
        <v>3</v>
      </c>
      <c r="BT8" s="26" t="n">
        <f aca="false">IF(WEEKDAY(BT$3,2)&gt;5,0,SUMPRODUCT(('Assignment Calc'!$D$5:$D$132=$A8)*('Assignment Calc'!$H$5:$H$132&lt;&gt;"")*('Assignment Calc'!$H$5:$H$132&lt;=BT$3)*('Assignment Calc'!$I$5:$I$132&gt;=BT$3)*'Assignment Calc'!$K$5:$K$132*'Assignment Calc'!$L$5:$L$132))</f>
        <v>3</v>
      </c>
      <c r="BU8" s="26" t="n">
        <f aca="false">IF(WEEKDAY(BU$3,2)&gt;5,0,SUMPRODUCT(('Assignment Calc'!$D$5:$D$132=$A8)*('Assignment Calc'!$H$5:$H$132&lt;&gt;"")*('Assignment Calc'!$H$5:$H$132&lt;=BU$3)*('Assignment Calc'!$I$5:$I$132&gt;=BU$3)*'Assignment Calc'!$K$5:$K$132*'Assignment Calc'!$L$5:$L$132))</f>
        <v>3</v>
      </c>
      <c r="BV8" s="26" t="n">
        <f aca="false">IF(WEEKDAY(BV$3,2)&gt;5,0,SUMPRODUCT(('Assignment Calc'!$D$5:$D$132=$A8)*('Assignment Calc'!$H$5:$H$132&lt;&gt;"")*('Assignment Calc'!$H$5:$H$132&lt;=BV$3)*('Assignment Calc'!$I$5:$I$132&gt;=BV$3)*'Assignment Calc'!$K$5:$K$132*'Assignment Calc'!$L$5:$L$132))</f>
        <v>3</v>
      </c>
      <c r="BW8" s="26" t="n">
        <f aca="false">IF(WEEKDAY(BW$3,2)&gt;5,0,SUMPRODUCT(('Assignment Calc'!$D$5:$D$132=$A8)*('Assignment Calc'!$H$5:$H$132&lt;&gt;"")*('Assignment Calc'!$H$5:$H$132&lt;=BW$3)*('Assignment Calc'!$I$5:$I$132&gt;=BW$3)*'Assignment Calc'!$K$5:$K$132*'Assignment Calc'!$L$5:$L$132))</f>
        <v>0</v>
      </c>
      <c r="BX8" s="26" t="n">
        <f aca="false">IF(WEEKDAY(BX$3,2)&gt;5,0,SUMPRODUCT(('Assignment Calc'!$D$5:$D$132=$A8)*('Assignment Calc'!$H$5:$H$132&lt;&gt;"")*('Assignment Calc'!$H$5:$H$132&lt;=BX$3)*('Assignment Calc'!$I$5:$I$132&gt;=BX$3)*'Assignment Calc'!$K$5:$K$132*'Assignment Calc'!$L$5:$L$132))</f>
        <v>0</v>
      </c>
      <c r="BY8" s="26" t="n">
        <f aca="false">IF(WEEKDAY(BY$3,2)&gt;5,0,SUMPRODUCT(('Assignment Calc'!$D$5:$D$132=$A8)*('Assignment Calc'!$H$5:$H$132&lt;&gt;"")*('Assignment Calc'!$H$5:$H$132&lt;=BY$3)*('Assignment Calc'!$I$5:$I$132&gt;=BY$3)*'Assignment Calc'!$K$5:$K$132*'Assignment Calc'!$L$5:$L$132))</f>
        <v>0</v>
      </c>
      <c r="BZ8" s="26" t="n">
        <f aca="false">IF(WEEKDAY(BZ$3,2)&gt;5,0,SUMPRODUCT(('Assignment Calc'!$D$5:$D$132=$A8)*('Assignment Calc'!$H$5:$H$132&lt;&gt;"")*('Assignment Calc'!$H$5:$H$132&lt;=BZ$3)*('Assignment Calc'!$I$5:$I$132&gt;=BZ$3)*'Assignment Calc'!$K$5:$K$132*'Assignment Calc'!$L$5:$L$132))</f>
        <v>0</v>
      </c>
      <c r="CA8" s="26" t="n">
        <f aca="false">IF(WEEKDAY(CA$3,2)&gt;5,0,SUMPRODUCT(('Assignment Calc'!$D$5:$D$132=$A8)*('Assignment Calc'!$H$5:$H$132&lt;&gt;"")*('Assignment Calc'!$H$5:$H$132&lt;=CA$3)*('Assignment Calc'!$I$5:$I$132&gt;=CA$3)*'Assignment Calc'!$K$5:$K$132*'Assignment Calc'!$L$5:$L$132))</f>
        <v>0</v>
      </c>
      <c r="CB8" s="26" t="n">
        <f aca="false">IF(WEEKDAY(CB$3,2)&gt;5,0,SUMPRODUCT(('Assignment Calc'!$D$5:$D$132=$A8)*('Assignment Calc'!$H$5:$H$132&lt;&gt;"")*('Assignment Calc'!$H$5:$H$132&lt;=CB$3)*('Assignment Calc'!$I$5:$I$132&gt;=CB$3)*'Assignment Calc'!$K$5:$K$132*'Assignment Calc'!$L$5:$L$132))</f>
        <v>0</v>
      </c>
      <c r="CC8" s="26" t="n">
        <f aca="false">IF(WEEKDAY(CC$3,2)&gt;5,0,SUMPRODUCT(('Assignment Calc'!$D$5:$D$132=$A8)*('Assignment Calc'!$H$5:$H$132&lt;&gt;"")*('Assignment Calc'!$H$5:$H$132&lt;=CC$3)*('Assignment Calc'!$I$5:$I$132&gt;=CC$3)*'Assignment Calc'!$K$5:$K$132*'Assignment Calc'!$L$5:$L$132))</f>
        <v>0</v>
      </c>
      <c r="CD8" s="26" t="n">
        <f aca="false">IF(WEEKDAY(CD$3,2)&gt;5,0,SUMPRODUCT(('Assignment Calc'!$D$5:$D$132=$A8)*('Assignment Calc'!$H$5:$H$132&lt;&gt;"")*('Assignment Calc'!$H$5:$H$132&lt;=CD$3)*('Assignment Calc'!$I$5:$I$132&gt;=CD$3)*'Assignment Calc'!$K$5:$K$132*'Assignment Calc'!$L$5:$L$132))</f>
        <v>0</v>
      </c>
      <c r="CE8" s="26" t="n">
        <f aca="false">IF(WEEKDAY(CE$3,2)&gt;5,0,SUMPRODUCT(('Assignment Calc'!$D$5:$D$132=$A8)*('Assignment Calc'!$H$5:$H$132&lt;&gt;"")*('Assignment Calc'!$H$5:$H$132&lt;=CE$3)*('Assignment Calc'!$I$5:$I$132&gt;=CE$3)*'Assignment Calc'!$K$5:$K$132*'Assignment Calc'!$L$5:$L$132))</f>
        <v>0</v>
      </c>
      <c r="CF8" s="26" t="n">
        <f aca="false">IF(WEEKDAY(CF$3,2)&gt;5,0,SUMPRODUCT(('Assignment Calc'!$D$5:$D$132=$A8)*('Assignment Calc'!$H$5:$H$132&lt;&gt;"")*('Assignment Calc'!$H$5:$H$132&lt;=CF$3)*('Assignment Calc'!$I$5:$I$132&gt;=CF$3)*'Assignment Calc'!$K$5:$K$132*'Assignment Calc'!$L$5:$L$132))</f>
        <v>12</v>
      </c>
      <c r="CG8" s="26" t="n">
        <f aca="false">IF(WEEKDAY(CG$3,2)&gt;5,0,SUMPRODUCT(('Assignment Calc'!$D$5:$D$132=$A8)*('Assignment Calc'!$H$5:$H$132&lt;&gt;"")*('Assignment Calc'!$H$5:$H$132&lt;=CG$3)*('Assignment Calc'!$I$5:$I$132&gt;=CG$3)*'Assignment Calc'!$K$5:$K$132*'Assignment Calc'!$L$5:$L$132))</f>
        <v>12</v>
      </c>
      <c r="CH8" s="26" t="n">
        <f aca="false">IF(WEEKDAY(CH$3,2)&gt;5,0,SUMPRODUCT(('Assignment Calc'!$D$5:$D$132=$A8)*('Assignment Calc'!$H$5:$H$132&lt;&gt;"")*('Assignment Calc'!$H$5:$H$132&lt;=CH$3)*('Assignment Calc'!$I$5:$I$132&gt;=CH$3)*'Assignment Calc'!$K$5:$K$132*'Assignment Calc'!$L$5:$L$132))</f>
        <v>12</v>
      </c>
      <c r="CI8" s="26" t="n">
        <f aca="false">IF(WEEKDAY(CI$3,2)&gt;5,0,SUMPRODUCT(('Assignment Calc'!$D$5:$D$132=$A8)*('Assignment Calc'!$H$5:$H$132&lt;&gt;"")*('Assignment Calc'!$H$5:$H$132&lt;=CI$3)*('Assignment Calc'!$I$5:$I$132&gt;=CI$3)*'Assignment Calc'!$K$5:$K$132*'Assignment Calc'!$L$5:$L$132))</f>
        <v>12</v>
      </c>
      <c r="CJ8" s="26" t="n">
        <f aca="false">IF(WEEKDAY(CJ$3,2)&gt;5,0,SUMPRODUCT(('Assignment Calc'!$D$5:$D$132=$A8)*('Assignment Calc'!$H$5:$H$132&lt;&gt;"")*('Assignment Calc'!$H$5:$H$132&lt;=CJ$3)*('Assignment Calc'!$I$5:$I$132&gt;=CJ$3)*'Assignment Calc'!$K$5:$K$132*'Assignment Calc'!$L$5:$L$132))</f>
        <v>12</v>
      </c>
      <c r="CK8" s="26" t="n">
        <f aca="false">IF(WEEKDAY(CK$3,2)&gt;5,0,SUMPRODUCT(('Assignment Calc'!$D$5:$D$132=$A8)*('Assignment Calc'!$H$5:$H$132&lt;&gt;"")*('Assignment Calc'!$H$5:$H$132&lt;=CK$3)*('Assignment Calc'!$I$5:$I$132&gt;=CK$3)*'Assignment Calc'!$K$5:$K$132*'Assignment Calc'!$L$5:$L$132))</f>
        <v>0</v>
      </c>
      <c r="CL8" s="26" t="n">
        <f aca="false">IF(WEEKDAY(CL$3,2)&gt;5,0,SUMPRODUCT(('Assignment Calc'!$D$5:$D$132=$A8)*('Assignment Calc'!$H$5:$H$132&lt;&gt;"")*('Assignment Calc'!$H$5:$H$132&lt;=CL$3)*('Assignment Calc'!$I$5:$I$132&gt;=CL$3)*'Assignment Calc'!$K$5:$K$132*'Assignment Calc'!$L$5:$L$132))</f>
        <v>0</v>
      </c>
      <c r="CM8" s="26" t="n">
        <f aca="false">IF(WEEKDAY(CM$3,2)&gt;5,0,SUMPRODUCT(('Assignment Calc'!$D$5:$D$132=$A8)*('Assignment Calc'!$H$5:$H$132&lt;&gt;"")*('Assignment Calc'!$H$5:$H$132&lt;=CM$3)*('Assignment Calc'!$I$5:$I$132&gt;=CM$3)*'Assignment Calc'!$K$5:$K$132*'Assignment Calc'!$L$5:$L$132))</f>
        <v>9</v>
      </c>
      <c r="CN8" s="26" t="n">
        <f aca="false">IF(WEEKDAY(CN$3,2)&gt;5,0,SUMPRODUCT(('Assignment Calc'!$D$5:$D$132=$A8)*('Assignment Calc'!$H$5:$H$132&lt;&gt;"")*('Assignment Calc'!$H$5:$H$132&lt;=CN$3)*('Assignment Calc'!$I$5:$I$132&gt;=CN$3)*'Assignment Calc'!$K$5:$K$132*'Assignment Calc'!$L$5:$L$132))</f>
        <v>9</v>
      </c>
      <c r="CO8" s="26" t="n">
        <f aca="false">IF(WEEKDAY(CO$3,2)&gt;5,0,SUMPRODUCT(('Assignment Calc'!$D$5:$D$132=$A8)*('Assignment Calc'!$H$5:$H$132&lt;&gt;"")*('Assignment Calc'!$H$5:$H$132&lt;=CO$3)*('Assignment Calc'!$I$5:$I$132&gt;=CO$3)*'Assignment Calc'!$K$5:$K$132*'Assignment Calc'!$L$5:$L$132))</f>
        <v>9</v>
      </c>
      <c r="CP8" s="26" t="n">
        <f aca="false">IF(WEEKDAY(CP$3,2)&gt;5,0,SUMPRODUCT(('Assignment Calc'!$D$5:$D$132=$A8)*('Assignment Calc'!$H$5:$H$132&lt;&gt;"")*('Assignment Calc'!$H$5:$H$132&lt;=CP$3)*('Assignment Calc'!$I$5:$I$132&gt;=CP$3)*'Assignment Calc'!$K$5:$K$132*'Assignment Calc'!$L$5:$L$132))</f>
        <v>9</v>
      </c>
    </row>
    <row r="9" customFormat="false" ht="15" hidden="false" customHeight="true" outlineLevel="0" collapsed="false">
      <c r="A9" s="2" t="s">
        <v>333</v>
      </c>
      <c r="B9" s="23" t="n">
        <f aca="false">SUM(C9:CP9)</f>
        <v>403.25</v>
      </c>
      <c r="C9" s="26" t="n">
        <f aca="false">IF(WEEKDAY(C$3,2)&gt;5,0,SUMPRODUCT(('Assignment Calc'!$D$5:$D$132=$A9)*('Assignment Calc'!$H$5:$H$132&lt;&gt;"")*('Assignment Calc'!$H$5:$H$132&lt;=C$3)*('Assignment Calc'!$I$5:$I$132&gt;=C$3)*'Assignment Calc'!$K$5:$K$132*'Assignment Calc'!$L$5:$L$132))</f>
        <v>0</v>
      </c>
      <c r="D9" s="26" t="n">
        <f aca="false">IF(WEEKDAY(D$3,2)&gt;5,0,SUMPRODUCT(('Assignment Calc'!$D$5:$D$132=$A9)*('Assignment Calc'!$H$5:$H$132&lt;&gt;"")*('Assignment Calc'!$H$5:$H$132&lt;=D$3)*('Assignment Calc'!$I$5:$I$132&gt;=D$3)*'Assignment Calc'!$K$5:$K$132*'Assignment Calc'!$L$5:$L$132))</f>
        <v>9</v>
      </c>
      <c r="E9" s="26" t="n">
        <f aca="false">IF(WEEKDAY(E$3,2)&gt;5,0,SUMPRODUCT(('Assignment Calc'!$D$5:$D$132=$A9)*('Assignment Calc'!$H$5:$H$132&lt;&gt;"")*('Assignment Calc'!$H$5:$H$132&lt;=E$3)*('Assignment Calc'!$I$5:$I$132&gt;=E$3)*'Assignment Calc'!$K$5:$K$132*'Assignment Calc'!$L$5:$L$132))</f>
        <v>0</v>
      </c>
      <c r="F9" s="26" t="n">
        <f aca="false">IF(WEEKDAY(F$3,2)&gt;5,0,SUMPRODUCT(('Assignment Calc'!$D$5:$D$132=$A9)*('Assignment Calc'!$H$5:$H$132&lt;&gt;"")*('Assignment Calc'!$H$5:$H$132&lt;=F$3)*('Assignment Calc'!$I$5:$I$132&gt;=F$3)*'Assignment Calc'!$K$5:$K$132*'Assignment Calc'!$L$5:$L$132))</f>
        <v>0</v>
      </c>
      <c r="G9" s="26" t="n">
        <f aca="false">IF(WEEKDAY(G$3,2)&gt;5,0,SUMPRODUCT(('Assignment Calc'!$D$5:$D$132=$A9)*('Assignment Calc'!$H$5:$H$132&lt;&gt;"")*('Assignment Calc'!$H$5:$H$132&lt;=G$3)*('Assignment Calc'!$I$5:$I$132&gt;=G$3)*'Assignment Calc'!$K$5:$K$132*'Assignment Calc'!$L$5:$L$132))</f>
        <v>9</v>
      </c>
      <c r="H9" s="26" t="n">
        <f aca="false">IF(WEEKDAY(H$3,2)&gt;5,0,SUMPRODUCT(('Assignment Calc'!$D$5:$D$132=$A9)*('Assignment Calc'!$H$5:$H$132&lt;&gt;"")*('Assignment Calc'!$H$5:$H$132&lt;=H$3)*('Assignment Calc'!$I$5:$I$132&gt;=H$3)*'Assignment Calc'!$K$5:$K$132*'Assignment Calc'!$L$5:$L$132))</f>
        <v>9</v>
      </c>
      <c r="I9" s="26" t="n">
        <f aca="false">IF(WEEKDAY(I$3,2)&gt;5,0,SUMPRODUCT(('Assignment Calc'!$D$5:$D$132=$A9)*('Assignment Calc'!$H$5:$H$132&lt;&gt;"")*('Assignment Calc'!$H$5:$H$132&lt;=I$3)*('Assignment Calc'!$I$5:$I$132&gt;=I$3)*'Assignment Calc'!$K$5:$K$132*'Assignment Calc'!$L$5:$L$132))</f>
        <v>9</v>
      </c>
      <c r="J9" s="26" t="n">
        <f aca="false">IF(WEEKDAY(J$3,2)&gt;5,0,SUMPRODUCT(('Assignment Calc'!$D$5:$D$132=$A9)*('Assignment Calc'!$H$5:$H$132&lt;&gt;"")*('Assignment Calc'!$H$5:$H$132&lt;=J$3)*('Assignment Calc'!$I$5:$I$132&gt;=J$3)*'Assignment Calc'!$K$5:$K$132*'Assignment Calc'!$L$5:$L$132))</f>
        <v>9</v>
      </c>
      <c r="K9" s="26" t="n">
        <f aca="false">IF(WEEKDAY(K$3,2)&gt;5,0,SUMPRODUCT(('Assignment Calc'!$D$5:$D$132=$A9)*('Assignment Calc'!$H$5:$H$132&lt;&gt;"")*('Assignment Calc'!$H$5:$H$132&lt;=K$3)*('Assignment Calc'!$I$5:$I$132&gt;=K$3)*'Assignment Calc'!$K$5:$K$132*'Assignment Calc'!$L$5:$L$132))</f>
        <v>9</v>
      </c>
      <c r="L9" s="26" t="n">
        <f aca="false">IF(WEEKDAY(L$3,2)&gt;5,0,SUMPRODUCT(('Assignment Calc'!$D$5:$D$132=$A9)*('Assignment Calc'!$H$5:$H$132&lt;&gt;"")*('Assignment Calc'!$H$5:$H$132&lt;=L$3)*('Assignment Calc'!$I$5:$I$132&gt;=L$3)*'Assignment Calc'!$K$5:$K$132*'Assignment Calc'!$L$5:$L$132))</f>
        <v>0</v>
      </c>
      <c r="M9" s="26" t="n">
        <f aca="false">IF(WEEKDAY(M$3,2)&gt;5,0,SUMPRODUCT(('Assignment Calc'!$D$5:$D$132=$A9)*('Assignment Calc'!$H$5:$H$132&lt;&gt;"")*('Assignment Calc'!$H$5:$H$132&lt;=M$3)*('Assignment Calc'!$I$5:$I$132&gt;=M$3)*'Assignment Calc'!$K$5:$K$132*'Assignment Calc'!$L$5:$L$132))</f>
        <v>0</v>
      </c>
      <c r="N9" s="26" t="n">
        <f aca="false">IF(WEEKDAY(N$3,2)&gt;5,0,SUMPRODUCT(('Assignment Calc'!$D$5:$D$132=$A9)*('Assignment Calc'!$H$5:$H$132&lt;&gt;"")*('Assignment Calc'!$H$5:$H$132&lt;=N$3)*('Assignment Calc'!$I$5:$I$132&gt;=N$3)*'Assignment Calc'!$K$5:$K$132*'Assignment Calc'!$L$5:$L$132))</f>
        <v>2.25</v>
      </c>
      <c r="O9" s="26" t="n">
        <f aca="false">IF(WEEKDAY(O$3,2)&gt;5,0,SUMPRODUCT(('Assignment Calc'!$D$5:$D$132=$A9)*('Assignment Calc'!$H$5:$H$132&lt;&gt;"")*('Assignment Calc'!$H$5:$H$132&lt;=O$3)*('Assignment Calc'!$I$5:$I$132&gt;=O$3)*'Assignment Calc'!$K$5:$K$132*'Assignment Calc'!$L$5:$L$132))</f>
        <v>2.25</v>
      </c>
      <c r="P9" s="26" t="n">
        <f aca="false">IF(WEEKDAY(P$3,2)&gt;5,0,SUMPRODUCT(('Assignment Calc'!$D$5:$D$132=$A9)*('Assignment Calc'!$H$5:$H$132&lt;&gt;"")*('Assignment Calc'!$H$5:$H$132&lt;=P$3)*('Assignment Calc'!$I$5:$I$132&gt;=P$3)*'Assignment Calc'!$K$5:$K$132*'Assignment Calc'!$L$5:$L$132))</f>
        <v>2.25</v>
      </c>
      <c r="Q9" s="26" t="n">
        <f aca="false">IF(WEEKDAY(Q$3,2)&gt;5,0,SUMPRODUCT(('Assignment Calc'!$D$5:$D$132=$A9)*('Assignment Calc'!$H$5:$H$132&lt;&gt;"")*('Assignment Calc'!$H$5:$H$132&lt;=Q$3)*('Assignment Calc'!$I$5:$I$132&gt;=Q$3)*'Assignment Calc'!$K$5:$K$132*'Assignment Calc'!$L$5:$L$132))</f>
        <v>2.25</v>
      </c>
      <c r="R9" s="26" t="n">
        <f aca="false">IF(WEEKDAY(R$3,2)&gt;5,0,SUMPRODUCT(('Assignment Calc'!$D$5:$D$132=$A9)*('Assignment Calc'!$H$5:$H$132&lt;&gt;"")*('Assignment Calc'!$H$5:$H$132&lt;=R$3)*('Assignment Calc'!$I$5:$I$132&gt;=R$3)*'Assignment Calc'!$K$5:$K$132*'Assignment Calc'!$L$5:$L$132))</f>
        <v>2.25</v>
      </c>
      <c r="S9" s="26" t="n">
        <f aca="false">IF(WEEKDAY(S$3,2)&gt;5,0,SUMPRODUCT(('Assignment Calc'!$D$5:$D$132=$A9)*('Assignment Calc'!$H$5:$H$132&lt;&gt;"")*('Assignment Calc'!$H$5:$H$132&lt;=S$3)*('Assignment Calc'!$I$5:$I$132&gt;=S$3)*'Assignment Calc'!$K$5:$K$132*'Assignment Calc'!$L$5:$L$132))</f>
        <v>0</v>
      </c>
      <c r="T9" s="26" t="n">
        <f aca="false">IF(WEEKDAY(T$3,2)&gt;5,0,SUMPRODUCT(('Assignment Calc'!$D$5:$D$132=$A9)*('Assignment Calc'!$H$5:$H$132&lt;&gt;"")*('Assignment Calc'!$H$5:$H$132&lt;=T$3)*('Assignment Calc'!$I$5:$I$132&gt;=T$3)*'Assignment Calc'!$K$5:$K$132*'Assignment Calc'!$L$5:$L$132))</f>
        <v>0</v>
      </c>
      <c r="U9" s="26" t="n">
        <f aca="false">IF(WEEKDAY(U$3,2)&gt;5,0,SUMPRODUCT(('Assignment Calc'!$D$5:$D$132=$A9)*('Assignment Calc'!$H$5:$H$132&lt;&gt;"")*('Assignment Calc'!$H$5:$H$132&lt;=U$3)*('Assignment Calc'!$I$5:$I$132&gt;=U$3)*'Assignment Calc'!$K$5:$K$132*'Assignment Calc'!$L$5:$L$132))</f>
        <v>0</v>
      </c>
      <c r="V9" s="26" t="n">
        <f aca="false">IF(WEEKDAY(V$3,2)&gt;5,0,SUMPRODUCT(('Assignment Calc'!$D$5:$D$132=$A9)*('Assignment Calc'!$H$5:$H$132&lt;&gt;"")*('Assignment Calc'!$H$5:$H$132&lt;=V$3)*('Assignment Calc'!$I$5:$I$132&gt;=V$3)*'Assignment Calc'!$K$5:$K$132*'Assignment Calc'!$L$5:$L$132))</f>
        <v>0</v>
      </c>
      <c r="W9" s="26" t="n">
        <f aca="false">IF(WEEKDAY(W$3,2)&gt;5,0,SUMPRODUCT(('Assignment Calc'!$D$5:$D$132=$A9)*('Assignment Calc'!$H$5:$H$132&lt;&gt;"")*('Assignment Calc'!$H$5:$H$132&lt;=W$3)*('Assignment Calc'!$I$5:$I$132&gt;=W$3)*'Assignment Calc'!$K$5:$K$132*'Assignment Calc'!$L$5:$L$132))</f>
        <v>0</v>
      </c>
      <c r="X9" s="26" t="n">
        <f aca="false">IF(WEEKDAY(X$3,2)&gt;5,0,SUMPRODUCT(('Assignment Calc'!$D$5:$D$132=$A9)*('Assignment Calc'!$H$5:$H$132&lt;&gt;"")*('Assignment Calc'!$H$5:$H$132&lt;=X$3)*('Assignment Calc'!$I$5:$I$132&gt;=X$3)*'Assignment Calc'!$K$5:$K$132*'Assignment Calc'!$L$5:$L$132))</f>
        <v>0</v>
      </c>
      <c r="Y9" s="26" t="n">
        <f aca="false">IF(WEEKDAY(Y$3,2)&gt;5,0,SUMPRODUCT(('Assignment Calc'!$D$5:$D$132=$A9)*('Assignment Calc'!$H$5:$H$132&lt;&gt;"")*('Assignment Calc'!$H$5:$H$132&lt;=Y$3)*('Assignment Calc'!$I$5:$I$132&gt;=Y$3)*'Assignment Calc'!$K$5:$K$132*'Assignment Calc'!$L$5:$L$132))</f>
        <v>0</v>
      </c>
      <c r="Z9" s="26" t="n">
        <f aca="false">IF(WEEKDAY(Z$3,2)&gt;5,0,SUMPRODUCT(('Assignment Calc'!$D$5:$D$132=$A9)*('Assignment Calc'!$H$5:$H$132&lt;&gt;"")*('Assignment Calc'!$H$5:$H$132&lt;=Z$3)*('Assignment Calc'!$I$5:$I$132&gt;=Z$3)*'Assignment Calc'!$K$5:$K$132*'Assignment Calc'!$L$5:$L$132))</f>
        <v>0</v>
      </c>
      <c r="AA9" s="26" t="n">
        <f aca="false">IF(WEEKDAY(AA$3,2)&gt;5,0,SUMPRODUCT(('Assignment Calc'!$D$5:$D$132=$A9)*('Assignment Calc'!$H$5:$H$132&lt;&gt;"")*('Assignment Calc'!$H$5:$H$132&lt;=AA$3)*('Assignment Calc'!$I$5:$I$132&gt;=AA$3)*'Assignment Calc'!$K$5:$K$132*'Assignment Calc'!$L$5:$L$132))</f>
        <v>0</v>
      </c>
      <c r="AB9" s="26" t="n">
        <f aca="false">IF(WEEKDAY(AB$3,2)&gt;5,0,SUMPRODUCT(('Assignment Calc'!$D$5:$D$132=$A9)*('Assignment Calc'!$H$5:$H$132&lt;&gt;"")*('Assignment Calc'!$H$5:$H$132&lt;=AB$3)*('Assignment Calc'!$I$5:$I$132&gt;=AB$3)*'Assignment Calc'!$K$5:$K$132*'Assignment Calc'!$L$5:$L$132))</f>
        <v>13.5</v>
      </c>
      <c r="AC9" s="26" t="n">
        <f aca="false">IF(WEEKDAY(AC$3,2)&gt;5,0,SUMPRODUCT(('Assignment Calc'!$D$5:$D$132=$A9)*('Assignment Calc'!$H$5:$H$132&lt;&gt;"")*('Assignment Calc'!$H$5:$H$132&lt;=AC$3)*('Assignment Calc'!$I$5:$I$132&gt;=AC$3)*'Assignment Calc'!$K$5:$K$132*'Assignment Calc'!$L$5:$L$132))</f>
        <v>13.5</v>
      </c>
      <c r="AD9" s="26" t="n">
        <f aca="false">IF(WEEKDAY(AD$3,2)&gt;5,0,SUMPRODUCT(('Assignment Calc'!$D$5:$D$132=$A9)*('Assignment Calc'!$H$5:$H$132&lt;&gt;"")*('Assignment Calc'!$H$5:$H$132&lt;=AD$3)*('Assignment Calc'!$I$5:$I$132&gt;=AD$3)*'Assignment Calc'!$K$5:$K$132*'Assignment Calc'!$L$5:$L$132))</f>
        <v>13.5</v>
      </c>
      <c r="AE9" s="26" t="n">
        <f aca="false">IF(WEEKDAY(AE$3,2)&gt;5,0,SUMPRODUCT(('Assignment Calc'!$D$5:$D$132=$A9)*('Assignment Calc'!$H$5:$H$132&lt;&gt;"")*('Assignment Calc'!$H$5:$H$132&lt;=AE$3)*('Assignment Calc'!$I$5:$I$132&gt;=AE$3)*'Assignment Calc'!$K$5:$K$132*'Assignment Calc'!$L$5:$L$132))</f>
        <v>13.5</v>
      </c>
      <c r="AF9" s="26" t="n">
        <f aca="false">IF(WEEKDAY(AF$3,2)&gt;5,0,SUMPRODUCT(('Assignment Calc'!$D$5:$D$132=$A9)*('Assignment Calc'!$H$5:$H$132&lt;&gt;"")*('Assignment Calc'!$H$5:$H$132&lt;=AF$3)*('Assignment Calc'!$I$5:$I$132&gt;=AF$3)*'Assignment Calc'!$K$5:$K$132*'Assignment Calc'!$L$5:$L$132))</f>
        <v>13.5</v>
      </c>
      <c r="AG9" s="26" t="n">
        <f aca="false">IF(WEEKDAY(AG$3,2)&gt;5,0,SUMPRODUCT(('Assignment Calc'!$D$5:$D$132=$A9)*('Assignment Calc'!$H$5:$H$132&lt;&gt;"")*('Assignment Calc'!$H$5:$H$132&lt;=AG$3)*('Assignment Calc'!$I$5:$I$132&gt;=AG$3)*'Assignment Calc'!$K$5:$K$132*'Assignment Calc'!$L$5:$L$132))</f>
        <v>0</v>
      </c>
      <c r="AH9" s="26" t="n">
        <f aca="false">IF(WEEKDAY(AH$3,2)&gt;5,0,SUMPRODUCT(('Assignment Calc'!$D$5:$D$132=$A9)*('Assignment Calc'!$H$5:$H$132&lt;&gt;"")*('Assignment Calc'!$H$5:$H$132&lt;=AH$3)*('Assignment Calc'!$I$5:$I$132&gt;=AH$3)*'Assignment Calc'!$K$5:$K$132*'Assignment Calc'!$L$5:$L$132))</f>
        <v>0</v>
      </c>
      <c r="AI9" s="26" t="n">
        <f aca="false">IF(WEEKDAY(AI$3,2)&gt;5,0,SUMPRODUCT(('Assignment Calc'!$D$5:$D$132=$A9)*('Assignment Calc'!$H$5:$H$132&lt;&gt;"")*('Assignment Calc'!$H$5:$H$132&lt;=AI$3)*('Assignment Calc'!$I$5:$I$132&gt;=AI$3)*'Assignment Calc'!$K$5:$K$132*'Assignment Calc'!$L$5:$L$132))</f>
        <v>4.5</v>
      </c>
      <c r="AJ9" s="26" t="n">
        <f aca="false">IF(WEEKDAY(AJ$3,2)&gt;5,0,SUMPRODUCT(('Assignment Calc'!$D$5:$D$132=$A9)*('Assignment Calc'!$H$5:$H$132&lt;&gt;"")*('Assignment Calc'!$H$5:$H$132&lt;=AJ$3)*('Assignment Calc'!$I$5:$I$132&gt;=AJ$3)*'Assignment Calc'!$K$5:$K$132*'Assignment Calc'!$L$5:$L$132))</f>
        <v>4.5</v>
      </c>
      <c r="AK9" s="26" t="n">
        <f aca="false">IF(WEEKDAY(AK$3,2)&gt;5,0,SUMPRODUCT(('Assignment Calc'!$D$5:$D$132=$A9)*('Assignment Calc'!$H$5:$H$132&lt;&gt;"")*('Assignment Calc'!$H$5:$H$132&lt;=AK$3)*('Assignment Calc'!$I$5:$I$132&gt;=AK$3)*'Assignment Calc'!$K$5:$K$132*'Assignment Calc'!$L$5:$L$132))</f>
        <v>4.5</v>
      </c>
      <c r="AL9" s="26" t="n">
        <f aca="false">IF(WEEKDAY(AL$3,2)&gt;5,0,SUMPRODUCT(('Assignment Calc'!$D$5:$D$132=$A9)*('Assignment Calc'!$H$5:$H$132&lt;&gt;"")*('Assignment Calc'!$H$5:$H$132&lt;=AL$3)*('Assignment Calc'!$I$5:$I$132&gt;=AL$3)*'Assignment Calc'!$K$5:$K$132*'Assignment Calc'!$L$5:$L$132))</f>
        <v>4.5</v>
      </c>
      <c r="AM9" s="26" t="n">
        <f aca="false">IF(WEEKDAY(AM$3,2)&gt;5,0,SUMPRODUCT(('Assignment Calc'!$D$5:$D$132=$A9)*('Assignment Calc'!$H$5:$H$132&lt;&gt;"")*('Assignment Calc'!$H$5:$H$132&lt;=AM$3)*('Assignment Calc'!$I$5:$I$132&gt;=AM$3)*'Assignment Calc'!$K$5:$K$132*'Assignment Calc'!$L$5:$L$132))</f>
        <v>4.5</v>
      </c>
      <c r="AN9" s="26" t="n">
        <f aca="false">IF(WEEKDAY(AN$3,2)&gt;5,0,SUMPRODUCT(('Assignment Calc'!$D$5:$D$132=$A9)*('Assignment Calc'!$H$5:$H$132&lt;&gt;"")*('Assignment Calc'!$H$5:$H$132&lt;=AN$3)*('Assignment Calc'!$I$5:$I$132&gt;=AN$3)*'Assignment Calc'!$K$5:$K$132*'Assignment Calc'!$L$5:$L$132))</f>
        <v>0</v>
      </c>
      <c r="AO9" s="26" t="n">
        <f aca="false">IF(WEEKDAY(AO$3,2)&gt;5,0,SUMPRODUCT(('Assignment Calc'!$D$5:$D$132=$A9)*('Assignment Calc'!$H$5:$H$132&lt;&gt;"")*('Assignment Calc'!$H$5:$H$132&lt;=AO$3)*('Assignment Calc'!$I$5:$I$132&gt;=AO$3)*'Assignment Calc'!$K$5:$K$132*'Assignment Calc'!$L$5:$L$132))</f>
        <v>0</v>
      </c>
      <c r="AP9" s="26" t="n">
        <f aca="false">IF(WEEKDAY(AP$3,2)&gt;5,0,SUMPRODUCT(('Assignment Calc'!$D$5:$D$132=$A9)*('Assignment Calc'!$H$5:$H$132&lt;&gt;"")*('Assignment Calc'!$H$5:$H$132&lt;=AP$3)*('Assignment Calc'!$I$5:$I$132&gt;=AP$3)*'Assignment Calc'!$K$5:$K$132*'Assignment Calc'!$L$5:$L$132))</f>
        <v>0</v>
      </c>
      <c r="AQ9" s="26" t="n">
        <f aca="false">IF(WEEKDAY(AQ$3,2)&gt;5,0,SUMPRODUCT(('Assignment Calc'!$D$5:$D$132=$A9)*('Assignment Calc'!$H$5:$H$132&lt;&gt;"")*('Assignment Calc'!$H$5:$H$132&lt;=AQ$3)*('Assignment Calc'!$I$5:$I$132&gt;=AQ$3)*'Assignment Calc'!$K$5:$K$132*'Assignment Calc'!$L$5:$L$132))</f>
        <v>0</v>
      </c>
      <c r="AR9" s="26" t="n">
        <f aca="false">IF(WEEKDAY(AR$3,2)&gt;5,0,SUMPRODUCT(('Assignment Calc'!$D$5:$D$132=$A9)*('Assignment Calc'!$H$5:$H$132&lt;&gt;"")*('Assignment Calc'!$H$5:$H$132&lt;=AR$3)*('Assignment Calc'!$I$5:$I$132&gt;=AR$3)*'Assignment Calc'!$K$5:$K$132*'Assignment Calc'!$L$5:$L$132))</f>
        <v>0</v>
      </c>
      <c r="AS9" s="26" t="n">
        <f aca="false">IF(WEEKDAY(AS$3,2)&gt;5,0,SUMPRODUCT(('Assignment Calc'!$D$5:$D$132=$A9)*('Assignment Calc'!$H$5:$H$132&lt;&gt;"")*('Assignment Calc'!$H$5:$H$132&lt;=AS$3)*('Assignment Calc'!$I$5:$I$132&gt;=AS$3)*'Assignment Calc'!$K$5:$K$132*'Assignment Calc'!$L$5:$L$132))</f>
        <v>0</v>
      </c>
      <c r="AT9" s="26" t="n">
        <f aca="false">IF(WEEKDAY(AT$3,2)&gt;5,0,SUMPRODUCT(('Assignment Calc'!$D$5:$D$132=$A9)*('Assignment Calc'!$H$5:$H$132&lt;&gt;"")*('Assignment Calc'!$H$5:$H$132&lt;=AT$3)*('Assignment Calc'!$I$5:$I$132&gt;=AT$3)*'Assignment Calc'!$K$5:$K$132*'Assignment Calc'!$L$5:$L$132))</f>
        <v>0</v>
      </c>
      <c r="AU9" s="26" t="n">
        <f aca="false">IF(WEEKDAY(AU$3,2)&gt;5,0,SUMPRODUCT(('Assignment Calc'!$D$5:$D$132=$A9)*('Assignment Calc'!$H$5:$H$132&lt;&gt;"")*('Assignment Calc'!$H$5:$H$132&lt;=AU$3)*('Assignment Calc'!$I$5:$I$132&gt;=AU$3)*'Assignment Calc'!$K$5:$K$132*'Assignment Calc'!$L$5:$L$132))</f>
        <v>0</v>
      </c>
      <c r="AV9" s="26" t="n">
        <f aca="false">IF(WEEKDAY(AV$3,2)&gt;5,0,SUMPRODUCT(('Assignment Calc'!$D$5:$D$132=$A9)*('Assignment Calc'!$H$5:$H$132&lt;&gt;"")*('Assignment Calc'!$H$5:$H$132&lt;=AV$3)*('Assignment Calc'!$I$5:$I$132&gt;=AV$3)*'Assignment Calc'!$K$5:$K$132*'Assignment Calc'!$L$5:$L$132))</f>
        <v>0</v>
      </c>
      <c r="AW9" s="26" t="n">
        <f aca="false">IF(WEEKDAY(AW$3,2)&gt;5,0,SUMPRODUCT(('Assignment Calc'!$D$5:$D$132=$A9)*('Assignment Calc'!$H$5:$H$132&lt;&gt;"")*('Assignment Calc'!$H$5:$H$132&lt;=AW$3)*('Assignment Calc'!$I$5:$I$132&gt;=AW$3)*'Assignment Calc'!$K$5:$K$132*'Assignment Calc'!$L$5:$L$132))</f>
        <v>10.5</v>
      </c>
      <c r="AX9" s="26" t="n">
        <f aca="false">IF(WEEKDAY(AX$3,2)&gt;5,0,SUMPRODUCT(('Assignment Calc'!$D$5:$D$132=$A9)*('Assignment Calc'!$H$5:$H$132&lt;&gt;"")*('Assignment Calc'!$H$5:$H$132&lt;=AX$3)*('Assignment Calc'!$I$5:$I$132&gt;=AX$3)*'Assignment Calc'!$K$5:$K$132*'Assignment Calc'!$L$5:$L$132))</f>
        <v>10.5</v>
      </c>
      <c r="AY9" s="26" t="n">
        <f aca="false">IF(WEEKDAY(AY$3,2)&gt;5,0,SUMPRODUCT(('Assignment Calc'!$D$5:$D$132=$A9)*('Assignment Calc'!$H$5:$H$132&lt;&gt;"")*('Assignment Calc'!$H$5:$H$132&lt;=AY$3)*('Assignment Calc'!$I$5:$I$132&gt;=AY$3)*'Assignment Calc'!$K$5:$K$132*'Assignment Calc'!$L$5:$L$132))</f>
        <v>10.5</v>
      </c>
      <c r="AZ9" s="26" t="n">
        <f aca="false">IF(WEEKDAY(AZ$3,2)&gt;5,0,SUMPRODUCT(('Assignment Calc'!$D$5:$D$132=$A9)*('Assignment Calc'!$H$5:$H$132&lt;&gt;"")*('Assignment Calc'!$H$5:$H$132&lt;=AZ$3)*('Assignment Calc'!$I$5:$I$132&gt;=AZ$3)*'Assignment Calc'!$K$5:$K$132*'Assignment Calc'!$L$5:$L$132))</f>
        <v>10.5</v>
      </c>
      <c r="BA9" s="26" t="n">
        <f aca="false">IF(WEEKDAY(BA$3,2)&gt;5,0,SUMPRODUCT(('Assignment Calc'!$D$5:$D$132=$A9)*('Assignment Calc'!$H$5:$H$132&lt;&gt;"")*('Assignment Calc'!$H$5:$H$132&lt;=BA$3)*('Assignment Calc'!$I$5:$I$132&gt;=BA$3)*'Assignment Calc'!$K$5:$K$132*'Assignment Calc'!$L$5:$L$132))</f>
        <v>10.5</v>
      </c>
      <c r="BB9" s="26" t="n">
        <f aca="false">IF(WEEKDAY(BB$3,2)&gt;5,0,SUMPRODUCT(('Assignment Calc'!$D$5:$D$132=$A9)*('Assignment Calc'!$H$5:$H$132&lt;&gt;"")*('Assignment Calc'!$H$5:$H$132&lt;=BB$3)*('Assignment Calc'!$I$5:$I$132&gt;=BB$3)*'Assignment Calc'!$K$5:$K$132*'Assignment Calc'!$L$5:$L$132))</f>
        <v>0</v>
      </c>
      <c r="BC9" s="26" t="n">
        <f aca="false">IF(WEEKDAY(BC$3,2)&gt;5,0,SUMPRODUCT(('Assignment Calc'!$D$5:$D$132=$A9)*('Assignment Calc'!$H$5:$H$132&lt;&gt;"")*('Assignment Calc'!$H$5:$H$132&lt;=BC$3)*('Assignment Calc'!$I$5:$I$132&gt;=BC$3)*'Assignment Calc'!$K$5:$K$132*'Assignment Calc'!$L$5:$L$132))</f>
        <v>0</v>
      </c>
      <c r="BD9" s="26" t="n">
        <f aca="false">IF(WEEKDAY(BD$3,2)&gt;5,0,SUMPRODUCT(('Assignment Calc'!$D$5:$D$132=$A9)*('Assignment Calc'!$H$5:$H$132&lt;&gt;"")*('Assignment Calc'!$H$5:$H$132&lt;=BD$3)*('Assignment Calc'!$I$5:$I$132&gt;=BD$3)*'Assignment Calc'!$K$5:$K$132*'Assignment Calc'!$L$5:$L$132))</f>
        <v>9</v>
      </c>
      <c r="BE9" s="26" t="n">
        <f aca="false">IF(WEEKDAY(BE$3,2)&gt;5,0,SUMPRODUCT(('Assignment Calc'!$D$5:$D$132=$A9)*('Assignment Calc'!$H$5:$H$132&lt;&gt;"")*('Assignment Calc'!$H$5:$H$132&lt;=BE$3)*('Assignment Calc'!$I$5:$I$132&gt;=BE$3)*'Assignment Calc'!$K$5:$K$132*'Assignment Calc'!$L$5:$L$132))</f>
        <v>9</v>
      </c>
      <c r="BF9" s="26" t="n">
        <f aca="false">IF(WEEKDAY(BF$3,2)&gt;5,0,SUMPRODUCT(('Assignment Calc'!$D$5:$D$132=$A9)*('Assignment Calc'!$H$5:$H$132&lt;&gt;"")*('Assignment Calc'!$H$5:$H$132&lt;=BF$3)*('Assignment Calc'!$I$5:$I$132&gt;=BF$3)*'Assignment Calc'!$K$5:$K$132*'Assignment Calc'!$L$5:$L$132))</f>
        <v>9</v>
      </c>
      <c r="BG9" s="26" t="n">
        <f aca="false">IF(WEEKDAY(BG$3,2)&gt;5,0,SUMPRODUCT(('Assignment Calc'!$D$5:$D$132=$A9)*('Assignment Calc'!$H$5:$H$132&lt;&gt;"")*('Assignment Calc'!$H$5:$H$132&lt;=BG$3)*('Assignment Calc'!$I$5:$I$132&gt;=BG$3)*'Assignment Calc'!$K$5:$K$132*'Assignment Calc'!$L$5:$L$132))</f>
        <v>9</v>
      </c>
      <c r="BH9" s="26" t="n">
        <f aca="false">IF(WEEKDAY(BH$3,2)&gt;5,0,SUMPRODUCT(('Assignment Calc'!$D$5:$D$132=$A9)*('Assignment Calc'!$H$5:$H$132&lt;&gt;"")*('Assignment Calc'!$H$5:$H$132&lt;=BH$3)*('Assignment Calc'!$I$5:$I$132&gt;=BH$3)*'Assignment Calc'!$K$5:$K$132*'Assignment Calc'!$L$5:$L$132))</f>
        <v>9</v>
      </c>
      <c r="BI9" s="26" t="n">
        <f aca="false">IF(WEEKDAY(BI$3,2)&gt;5,0,SUMPRODUCT(('Assignment Calc'!$D$5:$D$132=$A9)*('Assignment Calc'!$H$5:$H$132&lt;&gt;"")*('Assignment Calc'!$H$5:$H$132&lt;=BI$3)*('Assignment Calc'!$I$5:$I$132&gt;=BI$3)*'Assignment Calc'!$K$5:$K$132*'Assignment Calc'!$L$5:$L$132))</f>
        <v>0</v>
      </c>
      <c r="BJ9" s="26" t="n">
        <f aca="false">IF(WEEKDAY(BJ$3,2)&gt;5,0,SUMPRODUCT(('Assignment Calc'!$D$5:$D$132=$A9)*('Assignment Calc'!$H$5:$H$132&lt;&gt;"")*('Assignment Calc'!$H$5:$H$132&lt;=BJ$3)*('Assignment Calc'!$I$5:$I$132&gt;=BJ$3)*'Assignment Calc'!$K$5:$K$132*'Assignment Calc'!$L$5:$L$132))</f>
        <v>0</v>
      </c>
      <c r="BK9" s="26" t="n">
        <f aca="false">IF(WEEKDAY(BK$3,2)&gt;5,0,SUMPRODUCT(('Assignment Calc'!$D$5:$D$132=$A9)*('Assignment Calc'!$H$5:$H$132&lt;&gt;"")*('Assignment Calc'!$H$5:$H$132&lt;=BK$3)*('Assignment Calc'!$I$5:$I$132&gt;=BK$3)*'Assignment Calc'!$K$5:$K$132*'Assignment Calc'!$L$5:$L$132))</f>
        <v>0</v>
      </c>
      <c r="BL9" s="26" t="n">
        <f aca="false">IF(WEEKDAY(BL$3,2)&gt;5,0,SUMPRODUCT(('Assignment Calc'!$D$5:$D$132=$A9)*('Assignment Calc'!$H$5:$H$132&lt;&gt;"")*('Assignment Calc'!$H$5:$H$132&lt;=BL$3)*('Assignment Calc'!$I$5:$I$132&gt;=BL$3)*'Assignment Calc'!$K$5:$K$132*'Assignment Calc'!$L$5:$L$132))</f>
        <v>6</v>
      </c>
      <c r="BM9" s="26" t="n">
        <f aca="false">IF(WEEKDAY(BM$3,2)&gt;5,0,SUMPRODUCT(('Assignment Calc'!$D$5:$D$132=$A9)*('Assignment Calc'!$H$5:$H$132&lt;&gt;"")*('Assignment Calc'!$H$5:$H$132&lt;=BM$3)*('Assignment Calc'!$I$5:$I$132&gt;=BM$3)*'Assignment Calc'!$K$5:$K$132*'Assignment Calc'!$L$5:$L$132))</f>
        <v>6</v>
      </c>
      <c r="BN9" s="26" t="n">
        <f aca="false">IF(WEEKDAY(BN$3,2)&gt;5,0,SUMPRODUCT(('Assignment Calc'!$D$5:$D$132=$A9)*('Assignment Calc'!$H$5:$H$132&lt;&gt;"")*('Assignment Calc'!$H$5:$H$132&lt;=BN$3)*('Assignment Calc'!$I$5:$I$132&gt;=BN$3)*'Assignment Calc'!$K$5:$K$132*'Assignment Calc'!$L$5:$L$132))</f>
        <v>6</v>
      </c>
      <c r="BO9" s="26" t="n">
        <f aca="false">IF(WEEKDAY(BO$3,2)&gt;5,0,SUMPRODUCT(('Assignment Calc'!$D$5:$D$132=$A9)*('Assignment Calc'!$H$5:$H$132&lt;&gt;"")*('Assignment Calc'!$H$5:$H$132&lt;=BO$3)*('Assignment Calc'!$I$5:$I$132&gt;=BO$3)*'Assignment Calc'!$K$5:$K$132*'Assignment Calc'!$L$5:$L$132))</f>
        <v>6</v>
      </c>
      <c r="BP9" s="26" t="n">
        <f aca="false">IF(WEEKDAY(BP$3,2)&gt;5,0,SUMPRODUCT(('Assignment Calc'!$D$5:$D$132=$A9)*('Assignment Calc'!$H$5:$H$132&lt;&gt;"")*('Assignment Calc'!$H$5:$H$132&lt;=BP$3)*('Assignment Calc'!$I$5:$I$132&gt;=BP$3)*'Assignment Calc'!$K$5:$K$132*'Assignment Calc'!$L$5:$L$132))</f>
        <v>0</v>
      </c>
      <c r="BQ9" s="26" t="n">
        <f aca="false">IF(WEEKDAY(BQ$3,2)&gt;5,0,SUMPRODUCT(('Assignment Calc'!$D$5:$D$132=$A9)*('Assignment Calc'!$H$5:$H$132&lt;&gt;"")*('Assignment Calc'!$H$5:$H$132&lt;=BQ$3)*('Assignment Calc'!$I$5:$I$132&gt;=BQ$3)*'Assignment Calc'!$K$5:$K$132*'Assignment Calc'!$L$5:$L$132))</f>
        <v>0</v>
      </c>
      <c r="BR9" s="26" t="n">
        <f aca="false">IF(WEEKDAY(BR$3,2)&gt;5,0,SUMPRODUCT(('Assignment Calc'!$D$5:$D$132=$A9)*('Assignment Calc'!$H$5:$H$132&lt;&gt;"")*('Assignment Calc'!$H$5:$H$132&lt;=BR$3)*('Assignment Calc'!$I$5:$I$132&gt;=BR$3)*'Assignment Calc'!$K$5:$K$132*'Assignment Calc'!$L$5:$L$132))</f>
        <v>0</v>
      </c>
      <c r="BS9" s="26" t="n">
        <f aca="false">IF(WEEKDAY(BS$3,2)&gt;5,0,SUMPRODUCT(('Assignment Calc'!$D$5:$D$132=$A9)*('Assignment Calc'!$H$5:$H$132&lt;&gt;"")*('Assignment Calc'!$H$5:$H$132&lt;=BS$3)*('Assignment Calc'!$I$5:$I$132&gt;=BS$3)*'Assignment Calc'!$K$5:$K$132*'Assignment Calc'!$L$5:$L$132))</f>
        <v>0</v>
      </c>
      <c r="BT9" s="26" t="n">
        <f aca="false">IF(WEEKDAY(BT$3,2)&gt;5,0,SUMPRODUCT(('Assignment Calc'!$D$5:$D$132=$A9)*('Assignment Calc'!$H$5:$H$132&lt;&gt;"")*('Assignment Calc'!$H$5:$H$132&lt;=BT$3)*('Assignment Calc'!$I$5:$I$132&gt;=BT$3)*'Assignment Calc'!$K$5:$K$132*'Assignment Calc'!$L$5:$L$132))</f>
        <v>0</v>
      </c>
      <c r="BU9" s="26" t="n">
        <f aca="false">IF(WEEKDAY(BU$3,2)&gt;5,0,SUMPRODUCT(('Assignment Calc'!$D$5:$D$132=$A9)*('Assignment Calc'!$H$5:$H$132&lt;&gt;"")*('Assignment Calc'!$H$5:$H$132&lt;=BU$3)*('Assignment Calc'!$I$5:$I$132&gt;=BU$3)*'Assignment Calc'!$K$5:$K$132*'Assignment Calc'!$L$5:$L$132))</f>
        <v>0</v>
      </c>
      <c r="BV9" s="26" t="n">
        <f aca="false">IF(WEEKDAY(BV$3,2)&gt;5,0,SUMPRODUCT(('Assignment Calc'!$D$5:$D$132=$A9)*('Assignment Calc'!$H$5:$H$132&lt;&gt;"")*('Assignment Calc'!$H$5:$H$132&lt;=BV$3)*('Assignment Calc'!$I$5:$I$132&gt;=BV$3)*'Assignment Calc'!$K$5:$K$132*'Assignment Calc'!$L$5:$L$132))</f>
        <v>0</v>
      </c>
      <c r="BW9" s="26" t="n">
        <f aca="false">IF(WEEKDAY(BW$3,2)&gt;5,0,SUMPRODUCT(('Assignment Calc'!$D$5:$D$132=$A9)*('Assignment Calc'!$H$5:$H$132&lt;&gt;"")*('Assignment Calc'!$H$5:$H$132&lt;=BW$3)*('Assignment Calc'!$I$5:$I$132&gt;=BW$3)*'Assignment Calc'!$K$5:$K$132*'Assignment Calc'!$L$5:$L$132))</f>
        <v>0</v>
      </c>
      <c r="BX9" s="26" t="n">
        <f aca="false">IF(WEEKDAY(BX$3,2)&gt;5,0,SUMPRODUCT(('Assignment Calc'!$D$5:$D$132=$A9)*('Assignment Calc'!$H$5:$H$132&lt;&gt;"")*('Assignment Calc'!$H$5:$H$132&lt;=BX$3)*('Assignment Calc'!$I$5:$I$132&gt;=BX$3)*'Assignment Calc'!$K$5:$K$132*'Assignment Calc'!$L$5:$L$132))</f>
        <v>0</v>
      </c>
      <c r="BY9" s="26" t="n">
        <f aca="false">IF(WEEKDAY(BY$3,2)&gt;5,0,SUMPRODUCT(('Assignment Calc'!$D$5:$D$132=$A9)*('Assignment Calc'!$H$5:$H$132&lt;&gt;"")*('Assignment Calc'!$H$5:$H$132&lt;=BY$3)*('Assignment Calc'!$I$5:$I$132&gt;=BY$3)*'Assignment Calc'!$K$5:$K$132*'Assignment Calc'!$L$5:$L$132))</f>
        <v>9.5</v>
      </c>
      <c r="BZ9" s="26" t="n">
        <f aca="false">IF(WEEKDAY(BZ$3,2)&gt;5,0,SUMPRODUCT(('Assignment Calc'!$D$5:$D$132=$A9)*('Assignment Calc'!$H$5:$H$132&lt;&gt;"")*('Assignment Calc'!$H$5:$H$132&lt;=BZ$3)*('Assignment Calc'!$I$5:$I$132&gt;=BZ$3)*'Assignment Calc'!$K$5:$K$132*'Assignment Calc'!$L$5:$L$132))</f>
        <v>9.5</v>
      </c>
      <c r="CA9" s="26" t="n">
        <f aca="false">IF(WEEKDAY(CA$3,2)&gt;5,0,SUMPRODUCT(('Assignment Calc'!$D$5:$D$132=$A9)*('Assignment Calc'!$H$5:$H$132&lt;&gt;"")*('Assignment Calc'!$H$5:$H$132&lt;=CA$3)*('Assignment Calc'!$I$5:$I$132&gt;=CA$3)*'Assignment Calc'!$K$5:$K$132*'Assignment Calc'!$L$5:$L$132))</f>
        <v>9.5</v>
      </c>
      <c r="CB9" s="26" t="n">
        <f aca="false">IF(WEEKDAY(CB$3,2)&gt;5,0,SUMPRODUCT(('Assignment Calc'!$D$5:$D$132=$A9)*('Assignment Calc'!$H$5:$H$132&lt;&gt;"")*('Assignment Calc'!$H$5:$H$132&lt;=CB$3)*('Assignment Calc'!$I$5:$I$132&gt;=CB$3)*'Assignment Calc'!$K$5:$K$132*'Assignment Calc'!$L$5:$L$132))</f>
        <v>9.5</v>
      </c>
      <c r="CC9" s="26" t="n">
        <f aca="false">IF(WEEKDAY(CC$3,2)&gt;5,0,SUMPRODUCT(('Assignment Calc'!$D$5:$D$132=$A9)*('Assignment Calc'!$H$5:$H$132&lt;&gt;"")*('Assignment Calc'!$H$5:$H$132&lt;=CC$3)*('Assignment Calc'!$I$5:$I$132&gt;=CC$3)*'Assignment Calc'!$K$5:$K$132*'Assignment Calc'!$L$5:$L$132))</f>
        <v>9.5</v>
      </c>
      <c r="CD9" s="26" t="n">
        <f aca="false">IF(WEEKDAY(CD$3,2)&gt;5,0,SUMPRODUCT(('Assignment Calc'!$D$5:$D$132=$A9)*('Assignment Calc'!$H$5:$H$132&lt;&gt;"")*('Assignment Calc'!$H$5:$H$132&lt;=CD$3)*('Assignment Calc'!$I$5:$I$132&gt;=CD$3)*'Assignment Calc'!$K$5:$K$132*'Assignment Calc'!$L$5:$L$132))</f>
        <v>0</v>
      </c>
      <c r="CE9" s="26" t="n">
        <f aca="false">IF(WEEKDAY(CE$3,2)&gt;5,0,SUMPRODUCT(('Assignment Calc'!$D$5:$D$132=$A9)*('Assignment Calc'!$H$5:$H$132&lt;&gt;"")*('Assignment Calc'!$H$5:$H$132&lt;=CE$3)*('Assignment Calc'!$I$5:$I$132&gt;=CE$3)*'Assignment Calc'!$K$5:$K$132*'Assignment Calc'!$L$5:$L$132))</f>
        <v>0</v>
      </c>
      <c r="CF9" s="26" t="n">
        <f aca="false">IF(WEEKDAY(CF$3,2)&gt;5,0,SUMPRODUCT(('Assignment Calc'!$D$5:$D$132=$A9)*('Assignment Calc'!$H$5:$H$132&lt;&gt;"")*('Assignment Calc'!$H$5:$H$132&lt;=CF$3)*('Assignment Calc'!$I$5:$I$132&gt;=CF$3)*'Assignment Calc'!$K$5:$K$132*'Assignment Calc'!$L$5:$L$132))</f>
        <v>9</v>
      </c>
      <c r="CG9" s="26" t="n">
        <f aca="false">IF(WEEKDAY(CG$3,2)&gt;5,0,SUMPRODUCT(('Assignment Calc'!$D$5:$D$132=$A9)*('Assignment Calc'!$H$5:$H$132&lt;&gt;"")*('Assignment Calc'!$H$5:$H$132&lt;=CG$3)*('Assignment Calc'!$I$5:$I$132&gt;=CG$3)*'Assignment Calc'!$K$5:$K$132*'Assignment Calc'!$L$5:$L$132))</f>
        <v>9</v>
      </c>
      <c r="CH9" s="26" t="n">
        <f aca="false">IF(WEEKDAY(CH$3,2)&gt;5,0,SUMPRODUCT(('Assignment Calc'!$D$5:$D$132=$A9)*('Assignment Calc'!$H$5:$H$132&lt;&gt;"")*('Assignment Calc'!$H$5:$H$132&lt;=CH$3)*('Assignment Calc'!$I$5:$I$132&gt;=CH$3)*'Assignment Calc'!$K$5:$K$132*'Assignment Calc'!$L$5:$L$132))</f>
        <v>9</v>
      </c>
      <c r="CI9" s="26" t="n">
        <f aca="false">IF(WEEKDAY(CI$3,2)&gt;5,0,SUMPRODUCT(('Assignment Calc'!$D$5:$D$132=$A9)*('Assignment Calc'!$H$5:$H$132&lt;&gt;"")*('Assignment Calc'!$H$5:$H$132&lt;=CI$3)*('Assignment Calc'!$I$5:$I$132&gt;=CI$3)*'Assignment Calc'!$K$5:$K$132*'Assignment Calc'!$L$5:$L$132))</f>
        <v>9</v>
      </c>
      <c r="CJ9" s="26" t="n">
        <f aca="false">IF(WEEKDAY(CJ$3,2)&gt;5,0,SUMPRODUCT(('Assignment Calc'!$D$5:$D$132=$A9)*('Assignment Calc'!$H$5:$H$132&lt;&gt;"")*('Assignment Calc'!$H$5:$H$132&lt;=CJ$3)*('Assignment Calc'!$I$5:$I$132&gt;=CJ$3)*'Assignment Calc'!$K$5:$K$132*'Assignment Calc'!$L$5:$L$132))</f>
        <v>9</v>
      </c>
      <c r="CK9" s="26" t="n">
        <f aca="false">IF(WEEKDAY(CK$3,2)&gt;5,0,SUMPRODUCT(('Assignment Calc'!$D$5:$D$132=$A9)*('Assignment Calc'!$H$5:$H$132&lt;&gt;"")*('Assignment Calc'!$H$5:$H$132&lt;=CK$3)*('Assignment Calc'!$I$5:$I$132&gt;=CK$3)*'Assignment Calc'!$K$5:$K$132*'Assignment Calc'!$L$5:$L$132))</f>
        <v>0</v>
      </c>
      <c r="CL9" s="26" t="n">
        <f aca="false">IF(WEEKDAY(CL$3,2)&gt;5,0,SUMPRODUCT(('Assignment Calc'!$D$5:$D$132=$A9)*('Assignment Calc'!$H$5:$H$132&lt;&gt;"")*('Assignment Calc'!$H$5:$H$132&lt;=CL$3)*('Assignment Calc'!$I$5:$I$132&gt;=CL$3)*'Assignment Calc'!$K$5:$K$132*'Assignment Calc'!$L$5:$L$132))</f>
        <v>0</v>
      </c>
      <c r="CM9" s="26" t="n">
        <f aca="false">IF(WEEKDAY(CM$3,2)&gt;5,0,SUMPRODUCT(('Assignment Calc'!$D$5:$D$132=$A9)*('Assignment Calc'!$H$5:$H$132&lt;&gt;"")*('Assignment Calc'!$H$5:$H$132&lt;=CM$3)*('Assignment Calc'!$I$5:$I$132&gt;=CM$3)*'Assignment Calc'!$K$5:$K$132*'Assignment Calc'!$L$5:$L$132))</f>
        <v>8.5</v>
      </c>
      <c r="CN9" s="26" t="n">
        <f aca="false">IF(WEEKDAY(CN$3,2)&gt;5,0,SUMPRODUCT(('Assignment Calc'!$D$5:$D$132=$A9)*('Assignment Calc'!$H$5:$H$132&lt;&gt;"")*('Assignment Calc'!$H$5:$H$132&lt;=CN$3)*('Assignment Calc'!$I$5:$I$132&gt;=CN$3)*'Assignment Calc'!$K$5:$K$132*'Assignment Calc'!$L$5:$L$132))</f>
        <v>8.5</v>
      </c>
      <c r="CO9" s="26" t="n">
        <f aca="false">IF(WEEKDAY(CO$3,2)&gt;5,0,SUMPRODUCT(('Assignment Calc'!$D$5:$D$132=$A9)*('Assignment Calc'!$H$5:$H$132&lt;&gt;"")*('Assignment Calc'!$H$5:$H$132&lt;=CO$3)*('Assignment Calc'!$I$5:$I$132&gt;=CO$3)*'Assignment Calc'!$K$5:$K$132*'Assignment Calc'!$L$5:$L$132))</f>
        <v>8.5</v>
      </c>
      <c r="CP9" s="26" t="n">
        <f aca="false">IF(WEEKDAY(CP$3,2)&gt;5,0,SUMPRODUCT(('Assignment Calc'!$D$5:$D$132=$A9)*('Assignment Calc'!$H$5:$H$132&lt;&gt;"")*('Assignment Calc'!$H$5:$H$132&lt;=CP$3)*('Assignment Calc'!$I$5:$I$132&gt;=CP$3)*'Assignment Calc'!$K$5:$K$132*'Assignment Calc'!$L$5:$L$132))</f>
        <v>8.5</v>
      </c>
    </row>
    <row r="10" customFormat="false" ht="15" hidden="false" customHeight="true" outlineLevel="0" collapsed="false">
      <c r="A10" s="2" t="s">
        <v>367</v>
      </c>
      <c r="B10" s="23" t="n">
        <f aca="false">SUM(C10:CP10)</f>
        <v>402.75</v>
      </c>
      <c r="C10" s="26" t="n">
        <f aca="false">IF(WEEKDAY(C$3,2)&gt;5,0,SUMPRODUCT(('Assignment Calc'!$D$5:$D$132=$A10)*('Assignment Calc'!$H$5:$H$132&lt;&gt;"")*('Assignment Calc'!$H$5:$H$132&lt;=C$3)*('Assignment Calc'!$I$5:$I$132&gt;=C$3)*'Assignment Calc'!$K$5:$K$132*'Assignment Calc'!$L$5:$L$132))</f>
        <v>13.5</v>
      </c>
      <c r="D10" s="26" t="n">
        <f aca="false">IF(WEEKDAY(D$3,2)&gt;5,0,SUMPRODUCT(('Assignment Calc'!$D$5:$D$132=$A10)*('Assignment Calc'!$H$5:$H$132&lt;&gt;"")*('Assignment Calc'!$H$5:$H$132&lt;=D$3)*('Assignment Calc'!$I$5:$I$132&gt;=D$3)*'Assignment Calc'!$K$5:$K$132*'Assignment Calc'!$L$5:$L$132))</f>
        <v>13.5</v>
      </c>
      <c r="E10" s="26" t="n">
        <f aca="false">IF(WEEKDAY(E$3,2)&gt;5,0,SUMPRODUCT(('Assignment Calc'!$D$5:$D$132=$A10)*('Assignment Calc'!$H$5:$H$132&lt;&gt;"")*('Assignment Calc'!$H$5:$H$132&lt;=E$3)*('Assignment Calc'!$I$5:$I$132&gt;=E$3)*'Assignment Calc'!$K$5:$K$132*'Assignment Calc'!$L$5:$L$132))</f>
        <v>0</v>
      </c>
      <c r="F10" s="26" t="n">
        <f aca="false">IF(WEEKDAY(F$3,2)&gt;5,0,SUMPRODUCT(('Assignment Calc'!$D$5:$D$132=$A10)*('Assignment Calc'!$H$5:$H$132&lt;&gt;"")*('Assignment Calc'!$H$5:$H$132&lt;=F$3)*('Assignment Calc'!$I$5:$I$132&gt;=F$3)*'Assignment Calc'!$K$5:$K$132*'Assignment Calc'!$L$5:$L$132))</f>
        <v>0</v>
      </c>
      <c r="G10" s="26" t="n">
        <f aca="false">IF(WEEKDAY(G$3,2)&gt;5,0,SUMPRODUCT(('Assignment Calc'!$D$5:$D$132=$A10)*('Assignment Calc'!$H$5:$H$132&lt;&gt;"")*('Assignment Calc'!$H$5:$H$132&lt;=G$3)*('Assignment Calc'!$I$5:$I$132&gt;=G$3)*'Assignment Calc'!$K$5:$K$132*'Assignment Calc'!$L$5:$L$132))</f>
        <v>3</v>
      </c>
      <c r="H10" s="26" t="n">
        <f aca="false">IF(WEEKDAY(H$3,2)&gt;5,0,SUMPRODUCT(('Assignment Calc'!$D$5:$D$132=$A10)*('Assignment Calc'!$H$5:$H$132&lt;&gt;"")*('Assignment Calc'!$H$5:$H$132&lt;=H$3)*('Assignment Calc'!$I$5:$I$132&gt;=H$3)*'Assignment Calc'!$K$5:$K$132*'Assignment Calc'!$L$5:$L$132))</f>
        <v>3</v>
      </c>
      <c r="I10" s="26" t="n">
        <f aca="false">IF(WEEKDAY(I$3,2)&gt;5,0,SUMPRODUCT(('Assignment Calc'!$D$5:$D$132=$A10)*('Assignment Calc'!$H$5:$H$132&lt;&gt;"")*('Assignment Calc'!$H$5:$H$132&lt;=I$3)*('Assignment Calc'!$I$5:$I$132&gt;=I$3)*'Assignment Calc'!$K$5:$K$132*'Assignment Calc'!$L$5:$L$132))</f>
        <v>3</v>
      </c>
      <c r="J10" s="26" t="n">
        <f aca="false">IF(WEEKDAY(J$3,2)&gt;5,0,SUMPRODUCT(('Assignment Calc'!$D$5:$D$132=$A10)*('Assignment Calc'!$H$5:$H$132&lt;&gt;"")*('Assignment Calc'!$H$5:$H$132&lt;=J$3)*('Assignment Calc'!$I$5:$I$132&gt;=J$3)*'Assignment Calc'!$K$5:$K$132*'Assignment Calc'!$L$5:$L$132))</f>
        <v>3</v>
      </c>
      <c r="K10" s="26" t="n">
        <f aca="false">IF(WEEKDAY(K$3,2)&gt;5,0,SUMPRODUCT(('Assignment Calc'!$D$5:$D$132=$A10)*('Assignment Calc'!$H$5:$H$132&lt;&gt;"")*('Assignment Calc'!$H$5:$H$132&lt;=K$3)*('Assignment Calc'!$I$5:$I$132&gt;=K$3)*'Assignment Calc'!$K$5:$K$132*'Assignment Calc'!$L$5:$L$132))</f>
        <v>3</v>
      </c>
      <c r="L10" s="26" t="n">
        <f aca="false">IF(WEEKDAY(L$3,2)&gt;5,0,SUMPRODUCT(('Assignment Calc'!$D$5:$D$132=$A10)*('Assignment Calc'!$H$5:$H$132&lt;&gt;"")*('Assignment Calc'!$H$5:$H$132&lt;=L$3)*('Assignment Calc'!$I$5:$I$132&gt;=L$3)*'Assignment Calc'!$K$5:$K$132*'Assignment Calc'!$L$5:$L$132))</f>
        <v>0</v>
      </c>
      <c r="M10" s="26" t="n">
        <f aca="false">IF(WEEKDAY(M$3,2)&gt;5,0,SUMPRODUCT(('Assignment Calc'!$D$5:$D$132=$A10)*('Assignment Calc'!$H$5:$H$132&lt;&gt;"")*('Assignment Calc'!$H$5:$H$132&lt;=M$3)*('Assignment Calc'!$I$5:$I$132&gt;=M$3)*'Assignment Calc'!$K$5:$K$132*'Assignment Calc'!$L$5:$L$132))</f>
        <v>0</v>
      </c>
      <c r="N10" s="26" t="n">
        <f aca="false">IF(WEEKDAY(N$3,2)&gt;5,0,SUMPRODUCT(('Assignment Calc'!$D$5:$D$132=$A10)*('Assignment Calc'!$H$5:$H$132&lt;&gt;"")*('Assignment Calc'!$H$5:$H$132&lt;=N$3)*('Assignment Calc'!$I$5:$I$132&gt;=N$3)*'Assignment Calc'!$K$5:$K$132*'Assignment Calc'!$L$5:$L$132))</f>
        <v>0</v>
      </c>
      <c r="O10" s="26" t="n">
        <f aca="false">IF(WEEKDAY(O$3,2)&gt;5,0,SUMPRODUCT(('Assignment Calc'!$D$5:$D$132=$A10)*('Assignment Calc'!$H$5:$H$132&lt;&gt;"")*('Assignment Calc'!$H$5:$H$132&lt;=O$3)*('Assignment Calc'!$I$5:$I$132&gt;=O$3)*'Assignment Calc'!$K$5:$K$132*'Assignment Calc'!$L$5:$L$132))</f>
        <v>0</v>
      </c>
      <c r="P10" s="26" t="n">
        <f aca="false">IF(WEEKDAY(P$3,2)&gt;5,0,SUMPRODUCT(('Assignment Calc'!$D$5:$D$132=$A10)*('Assignment Calc'!$H$5:$H$132&lt;&gt;"")*('Assignment Calc'!$H$5:$H$132&lt;=P$3)*('Assignment Calc'!$I$5:$I$132&gt;=P$3)*'Assignment Calc'!$K$5:$K$132*'Assignment Calc'!$L$5:$L$132))</f>
        <v>0</v>
      </c>
      <c r="Q10" s="26" t="n">
        <f aca="false">IF(WEEKDAY(Q$3,2)&gt;5,0,SUMPRODUCT(('Assignment Calc'!$D$5:$D$132=$A10)*('Assignment Calc'!$H$5:$H$132&lt;&gt;"")*('Assignment Calc'!$H$5:$H$132&lt;=Q$3)*('Assignment Calc'!$I$5:$I$132&gt;=Q$3)*'Assignment Calc'!$K$5:$K$132*'Assignment Calc'!$L$5:$L$132))</f>
        <v>0</v>
      </c>
      <c r="R10" s="26" t="n">
        <f aca="false">IF(WEEKDAY(R$3,2)&gt;5,0,SUMPRODUCT(('Assignment Calc'!$D$5:$D$132=$A10)*('Assignment Calc'!$H$5:$H$132&lt;&gt;"")*('Assignment Calc'!$H$5:$H$132&lt;=R$3)*('Assignment Calc'!$I$5:$I$132&gt;=R$3)*'Assignment Calc'!$K$5:$K$132*'Assignment Calc'!$L$5:$L$132))</f>
        <v>0</v>
      </c>
      <c r="S10" s="26" t="n">
        <f aca="false">IF(WEEKDAY(S$3,2)&gt;5,0,SUMPRODUCT(('Assignment Calc'!$D$5:$D$132=$A10)*('Assignment Calc'!$H$5:$H$132&lt;&gt;"")*('Assignment Calc'!$H$5:$H$132&lt;=S$3)*('Assignment Calc'!$I$5:$I$132&gt;=S$3)*'Assignment Calc'!$K$5:$K$132*'Assignment Calc'!$L$5:$L$132))</f>
        <v>0</v>
      </c>
      <c r="T10" s="26" t="n">
        <f aca="false">IF(WEEKDAY(T$3,2)&gt;5,0,SUMPRODUCT(('Assignment Calc'!$D$5:$D$132=$A10)*('Assignment Calc'!$H$5:$H$132&lt;&gt;"")*('Assignment Calc'!$H$5:$H$132&lt;=T$3)*('Assignment Calc'!$I$5:$I$132&gt;=T$3)*'Assignment Calc'!$K$5:$K$132*'Assignment Calc'!$L$5:$L$132))</f>
        <v>0</v>
      </c>
      <c r="U10" s="26" t="n">
        <f aca="false">IF(WEEKDAY(U$3,2)&gt;5,0,SUMPRODUCT(('Assignment Calc'!$D$5:$D$132=$A10)*('Assignment Calc'!$H$5:$H$132&lt;&gt;"")*('Assignment Calc'!$H$5:$H$132&lt;=U$3)*('Assignment Calc'!$I$5:$I$132&gt;=U$3)*'Assignment Calc'!$K$5:$K$132*'Assignment Calc'!$L$5:$L$132))</f>
        <v>12</v>
      </c>
      <c r="V10" s="26" t="n">
        <f aca="false">IF(WEEKDAY(V$3,2)&gt;5,0,SUMPRODUCT(('Assignment Calc'!$D$5:$D$132=$A10)*('Assignment Calc'!$H$5:$H$132&lt;&gt;"")*('Assignment Calc'!$H$5:$H$132&lt;=V$3)*('Assignment Calc'!$I$5:$I$132&gt;=V$3)*'Assignment Calc'!$K$5:$K$132*'Assignment Calc'!$L$5:$L$132))</f>
        <v>12</v>
      </c>
      <c r="W10" s="26" t="n">
        <f aca="false">IF(WEEKDAY(W$3,2)&gt;5,0,SUMPRODUCT(('Assignment Calc'!$D$5:$D$132=$A10)*('Assignment Calc'!$H$5:$H$132&lt;&gt;"")*('Assignment Calc'!$H$5:$H$132&lt;=W$3)*('Assignment Calc'!$I$5:$I$132&gt;=W$3)*'Assignment Calc'!$K$5:$K$132*'Assignment Calc'!$L$5:$L$132))</f>
        <v>12</v>
      </c>
      <c r="X10" s="26" t="n">
        <f aca="false">IF(WEEKDAY(X$3,2)&gt;5,0,SUMPRODUCT(('Assignment Calc'!$D$5:$D$132=$A10)*('Assignment Calc'!$H$5:$H$132&lt;&gt;"")*('Assignment Calc'!$H$5:$H$132&lt;=X$3)*('Assignment Calc'!$I$5:$I$132&gt;=X$3)*'Assignment Calc'!$K$5:$K$132*'Assignment Calc'!$L$5:$L$132))</f>
        <v>12</v>
      </c>
      <c r="Y10" s="26" t="n">
        <f aca="false">IF(WEEKDAY(Y$3,2)&gt;5,0,SUMPRODUCT(('Assignment Calc'!$D$5:$D$132=$A10)*('Assignment Calc'!$H$5:$H$132&lt;&gt;"")*('Assignment Calc'!$H$5:$H$132&lt;=Y$3)*('Assignment Calc'!$I$5:$I$132&gt;=Y$3)*'Assignment Calc'!$K$5:$K$132*'Assignment Calc'!$L$5:$L$132))</f>
        <v>12</v>
      </c>
      <c r="Z10" s="26" t="n">
        <f aca="false">IF(WEEKDAY(Z$3,2)&gt;5,0,SUMPRODUCT(('Assignment Calc'!$D$5:$D$132=$A10)*('Assignment Calc'!$H$5:$H$132&lt;&gt;"")*('Assignment Calc'!$H$5:$H$132&lt;=Z$3)*('Assignment Calc'!$I$5:$I$132&gt;=Z$3)*'Assignment Calc'!$K$5:$K$132*'Assignment Calc'!$L$5:$L$132))</f>
        <v>0</v>
      </c>
      <c r="AA10" s="26" t="n">
        <f aca="false">IF(WEEKDAY(AA$3,2)&gt;5,0,SUMPRODUCT(('Assignment Calc'!$D$5:$D$132=$A10)*('Assignment Calc'!$H$5:$H$132&lt;&gt;"")*('Assignment Calc'!$H$5:$H$132&lt;=AA$3)*('Assignment Calc'!$I$5:$I$132&gt;=AA$3)*'Assignment Calc'!$K$5:$K$132*'Assignment Calc'!$L$5:$L$132))</f>
        <v>0</v>
      </c>
      <c r="AB10" s="26" t="n">
        <f aca="false">IF(WEEKDAY(AB$3,2)&gt;5,0,SUMPRODUCT(('Assignment Calc'!$D$5:$D$132=$A10)*('Assignment Calc'!$H$5:$H$132&lt;&gt;"")*('Assignment Calc'!$H$5:$H$132&lt;=AB$3)*('Assignment Calc'!$I$5:$I$132&gt;=AB$3)*'Assignment Calc'!$K$5:$K$132*'Assignment Calc'!$L$5:$L$132))</f>
        <v>9</v>
      </c>
      <c r="AC10" s="26" t="n">
        <f aca="false">IF(WEEKDAY(AC$3,2)&gt;5,0,SUMPRODUCT(('Assignment Calc'!$D$5:$D$132=$A10)*('Assignment Calc'!$H$5:$H$132&lt;&gt;"")*('Assignment Calc'!$H$5:$H$132&lt;=AC$3)*('Assignment Calc'!$I$5:$I$132&gt;=AC$3)*'Assignment Calc'!$K$5:$K$132*'Assignment Calc'!$L$5:$L$132))</f>
        <v>9</v>
      </c>
      <c r="AD10" s="26" t="n">
        <f aca="false">IF(WEEKDAY(AD$3,2)&gt;5,0,SUMPRODUCT(('Assignment Calc'!$D$5:$D$132=$A10)*('Assignment Calc'!$H$5:$H$132&lt;&gt;"")*('Assignment Calc'!$H$5:$H$132&lt;=AD$3)*('Assignment Calc'!$I$5:$I$132&gt;=AD$3)*'Assignment Calc'!$K$5:$K$132*'Assignment Calc'!$L$5:$L$132))</f>
        <v>9</v>
      </c>
      <c r="AE10" s="26" t="n">
        <f aca="false">IF(WEEKDAY(AE$3,2)&gt;5,0,SUMPRODUCT(('Assignment Calc'!$D$5:$D$132=$A10)*('Assignment Calc'!$H$5:$H$132&lt;&gt;"")*('Assignment Calc'!$H$5:$H$132&lt;=AE$3)*('Assignment Calc'!$I$5:$I$132&gt;=AE$3)*'Assignment Calc'!$K$5:$K$132*'Assignment Calc'!$L$5:$L$132))</f>
        <v>9</v>
      </c>
      <c r="AF10" s="26" t="n">
        <f aca="false">IF(WEEKDAY(AF$3,2)&gt;5,0,SUMPRODUCT(('Assignment Calc'!$D$5:$D$132=$A10)*('Assignment Calc'!$H$5:$H$132&lt;&gt;"")*('Assignment Calc'!$H$5:$H$132&lt;=AF$3)*('Assignment Calc'!$I$5:$I$132&gt;=AF$3)*'Assignment Calc'!$K$5:$K$132*'Assignment Calc'!$L$5:$L$132))</f>
        <v>9</v>
      </c>
      <c r="AG10" s="26" t="n">
        <f aca="false">IF(WEEKDAY(AG$3,2)&gt;5,0,SUMPRODUCT(('Assignment Calc'!$D$5:$D$132=$A10)*('Assignment Calc'!$H$5:$H$132&lt;&gt;"")*('Assignment Calc'!$H$5:$H$132&lt;=AG$3)*('Assignment Calc'!$I$5:$I$132&gt;=AG$3)*'Assignment Calc'!$K$5:$K$132*'Assignment Calc'!$L$5:$L$132))</f>
        <v>0</v>
      </c>
      <c r="AH10" s="26" t="n">
        <f aca="false">IF(WEEKDAY(AH$3,2)&gt;5,0,SUMPRODUCT(('Assignment Calc'!$D$5:$D$132=$A10)*('Assignment Calc'!$H$5:$H$132&lt;&gt;"")*('Assignment Calc'!$H$5:$H$132&lt;=AH$3)*('Assignment Calc'!$I$5:$I$132&gt;=AH$3)*'Assignment Calc'!$K$5:$K$132*'Assignment Calc'!$L$5:$L$132))</f>
        <v>0</v>
      </c>
      <c r="AI10" s="26" t="n">
        <f aca="false">IF(WEEKDAY(AI$3,2)&gt;5,0,SUMPRODUCT(('Assignment Calc'!$D$5:$D$132=$A10)*('Assignment Calc'!$H$5:$H$132&lt;&gt;"")*('Assignment Calc'!$H$5:$H$132&lt;=AI$3)*('Assignment Calc'!$I$5:$I$132&gt;=AI$3)*'Assignment Calc'!$K$5:$K$132*'Assignment Calc'!$L$5:$L$132))</f>
        <v>0</v>
      </c>
      <c r="AJ10" s="26" t="n">
        <f aca="false">IF(WEEKDAY(AJ$3,2)&gt;5,0,SUMPRODUCT(('Assignment Calc'!$D$5:$D$132=$A10)*('Assignment Calc'!$H$5:$H$132&lt;&gt;"")*('Assignment Calc'!$H$5:$H$132&lt;=AJ$3)*('Assignment Calc'!$I$5:$I$132&gt;=AJ$3)*'Assignment Calc'!$K$5:$K$132*'Assignment Calc'!$L$5:$L$132))</f>
        <v>0</v>
      </c>
      <c r="AK10" s="26" t="n">
        <f aca="false">IF(WEEKDAY(AK$3,2)&gt;5,0,SUMPRODUCT(('Assignment Calc'!$D$5:$D$132=$A10)*('Assignment Calc'!$H$5:$H$132&lt;&gt;"")*('Assignment Calc'!$H$5:$H$132&lt;=AK$3)*('Assignment Calc'!$I$5:$I$132&gt;=AK$3)*'Assignment Calc'!$K$5:$K$132*'Assignment Calc'!$L$5:$L$132))</f>
        <v>0</v>
      </c>
      <c r="AL10" s="26" t="n">
        <f aca="false">IF(WEEKDAY(AL$3,2)&gt;5,0,SUMPRODUCT(('Assignment Calc'!$D$5:$D$132=$A10)*('Assignment Calc'!$H$5:$H$132&lt;&gt;"")*('Assignment Calc'!$H$5:$H$132&lt;=AL$3)*('Assignment Calc'!$I$5:$I$132&gt;=AL$3)*'Assignment Calc'!$K$5:$K$132*'Assignment Calc'!$L$5:$L$132))</f>
        <v>0</v>
      </c>
      <c r="AM10" s="26" t="n">
        <f aca="false">IF(WEEKDAY(AM$3,2)&gt;5,0,SUMPRODUCT(('Assignment Calc'!$D$5:$D$132=$A10)*('Assignment Calc'!$H$5:$H$132&lt;&gt;"")*('Assignment Calc'!$H$5:$H$132&lt;=AM$3)*('Assignment Calc'!$I$5:$I$132&gt;=AM$3)*'Assignment Calc'!$K$5:$K$132*'Assignment Calc'!$L$5:$L$132))</f>
        <v>0</v>
      </c>
      <c r="AN10" s="26" t="n">
        <f aca="false">IF(WEEKDAY(AN$3,2)&gt;5,0,SUMPRODUCT(('Assignment Calc'!$D$5:$D$132=$A10)*('Assignment Calc'!$H$5:$H$132&lt;&gt;"")*('Assignment Calc'!$H$5:$H$132&lt;=AN$3)*('Assignment Calc'!$I$5:$I$132&gt;=AN$3)*'Assignment Calc'!$K$5:$K$132*'Assignment Calc'!$L$5:$L$132))</f>
        <v>0</v>
      </c>
      <c r="AO10" s="26" t="n">
        <f aca="false">IF(WEEKDAY(AO$3,2)&gt;5,0,SUMPRODUCT(('Assignment Calc'!$D$5:$D$132=$A10)*('Assignment Calc'!$H$5:$H$132&lt;&gt;"")*('Assignment Calc'!$H$5:$H$132&lt;=AO$3)*('Assignment Calc'!$I$5:$I$132&gt;=AO$3)*'Assignment Calc'!$K$5:$K$132*'Assignment Calc'!$L$5:$L$132))</f>
        <v>0</v>
      </c>
      <c r="AP10" s="26" t="n">
        <f aca="false">IF(WEEKDAY(AP$3,2)&gt;5,0,SUMPRODUCT(('Assignment Calc'!$D$5:$D$132=$A10)*('Assignment Calc'!$H$5:$H$132&lt;&gt;"")*('Assignment Calc'!$H$5:$H$132&lt;=AP$3)*('Assignment Calc'!$I$5:$I$132&gt;=AP$3)*'Assignment Calc'!$K$5:$K$132*'Assignment Calc'!$L$5:$L$132))</f>
        <v>13.5</v>
      </c>
      <c r="AQ10" s="26" t="n">
        <f aca="false">IF(WEEKDAY(AQ$3,2)&gt;5,0,SUMPRODUCT(('Assignment Calc'!$D$5:$D$132=$A10)*('Assignment Calc'!$H$5:$H$132&lt;&gt;"")*('Assignment Calc'!$H$5:$H$132&lt;=AQ$3)*('Assignment Calc'!$I$5:$I$132&gt;=AQ$3)*'Assignment Calc'!$K$5:$K$132*'Assignment Calc'!$L$5:$L$132))</f>
        <v>13.5</v>
      </c>
      <c r="AR10" s="26" t="n">
        <f aca="false">IF(WEEKDAY(AR$3,2)&gt;5,0,SUMPRODUCT(('Assignment Calc'!$D$5:$D$132=$A10)*('Assignment Calc'!$H$5:$H$132&lt;&gt;"")*('Assignment Calc'!$H$5:$H$132&lt;=AR$3)*('Assignment Calc'!$I$5:$I$132&gt;=AR$3)*'Assignment Calc'!$K$5:$K$132*'Assignment Calc'!$L$5:$L$132))</f>
        <v>13.5</v>
      </c>
      <c r="AS10" s="26" t="n">
        <f aca="false">IF(WEEKDAY(AS$3,2)&gt;5,0,SUMPRODUCT(('Assignment Calc'!$D$5:$D$132=$A10)*('Assignment Calc'!$H$5:$H$132&lt;&gt;"")*('Assignment Calc'!$H$5:$H$132&lt;=AS$3)*('Assignment Calc'!$I$5:$I$132&gt;=AS$3)*'Assignment Calc'!$K$5:$K$132*'Assignment Calc'!$L$5:$L$132))</f>
        <v>13.5</v>
      </c>
      <c r="AT10" s="26" t="n">
        <f aca="false">IF(WEEKDAY(AT$3,2)&gt;5,0,SUMPRODUCT(('Assignment Calc'!$D$5:$D$132=$A10)*('Assignment Calc'!$H$5:$H$132&lt;&gt;"")*('Assignment Calc'!$H$5:$H$132&lt;=AT$3)*('Assignment Calc'!$I$5:$I$132&gt;=AT$3)*'Assignment Calc'!$K$5:$K$132*'Assignment Calc'!$L$5:$L$132))</f>
        <v>13.5</v>
      </c>
      <c r="AU10" s="26" t="n">
        <f aca="false">IF(WEEKDAY(AU$3,2)&gt;5,0,SUMPRODUCT(('Assignment Calc'!$D$5:$D$132=$A10)*('Assignment Calc'!$H$5:$H$132&lt;&gt;"")*('Assignment Calc'!$H$5:$H$132&lt;=AU$3)*('Assignment Calc'!$I$5:$I$132&gt;=AU$3)*'Assignment Calc'!$K$5:$K$132*'Assignment Calc'!$L$5:$L$132))</f>
        <v>0</v>
      </c>
      <c r="AV10" s="26" t="n">
        <f aca="false">IF(WEEKDAY(AV$3,2)&gt;5,0,SUMPRODUCT(('Assignment Calc'!$D$5:$D$132=$A10)*('Assignment Calc'!$H$5:$H$132&lt;&gt;"")*('Assignment Calc'!$H$5:$H$132&lt;=AV$3)*('Assignment Calc'!$I$5:$I$132&gt;=AV$3)*'Assignment Calc'!$K$5:$K$132*'Assignment Calc'!$L$5:$L$132))</f>
        <v>0</v>
      </c>
      <c r="AW10" s="26" t="n">
        <f aca="false">IF(WEEKDAY(AW$3,2)&gt;5,0,SUMPRODUCT(('Assignment Calc'!$D$5:$D$132=$A10)*('Assignment Calc'!$H$5:$H$132&lt;&gt;"")*('Assignment Calc'!$H$5:$H$132&lt;=AW$3)*('Assignment Calc'!$I$5:$I$132&gt;=AW$3)*'Assignment Calc'!$K$5:$K$132*'Assignment Calc'!$L$5:$L$132))</f>
        <v>9</v>
      </c>
      <c r="AX10" s="26" t="n">
        <f aca="false">IF(WEEKDAY(AX$3,2)&gt;5,0,SUMPRODUCT(('Assignment Calc'!$D$5:$D$132=$A10)*('Assignment Calc'!$H$5:$H$132&lt;&gt;"")*('Assignment Calc'!$H$5:$H$132&lt;=AX$3)*('Assignment Calc'!$I$5:$I$132&gt;=AX$3)*'Assignment Calc'!$K$5:$K$132*'Assignment Calc'!$L$5:$L$132))</f>
        <v>9</v>
      </c>
      <c r="AY10" s="26" t="n">
        <f aca="false">IF(WEEKDAY(AY$3,2)&gt;5,0,SUMPRODUCT(('Assignment Calc'!$D$5:$D$132=$A10)*('Assignment Calc'!$H$5:$H$132&lt;&gt;"")*('Assignment Calc'!$H$5:$H$132&lt;=AY$3)*('Assignment Calc'!$I$5:$I$132&gt;=AY$3)*'Assignment Calc'!$K$5:$K$132*'Assignment Calc'!$L$5:$L$132))</f>
        <v>9</v>
      </c>
      <c r="AZ10" s="26" t="n">
        <f aca="false">IF(WEEKDAY(AZ$3,2)&gt;5,0,SUMPRODUCT(('Assignment Calc'!$D$5:$D$132=$A10)*('Assignment Calc'!$H$5:$H$132&lt;&gt;"")*('Assignment Calc'!$H$5:$H$132&lt;=AZ$3)*('Assignment Calc'!$I$5:$I$132&gt;=AZ$3)*'Assignment Calc'!$K$5:$K$132*'Assignment Calc'!$L$5:$L$132))</f>
        <v>9</v>
      </c>
      <c r="BA10" s="26" t="n">
        <f aca="false">IF(WEEKDAY(BA$3,2)&gt;5,0,SUMPRODUCT(('Assignment Calc'!$D$5:$D$132=$A10)*('Assignment Calc'!$H$5:$H$132&lt;&gt;"")*('Assignment Calc'!$H$5:$H$132&lt;=BA$3)*('Assignment Calc'!$I$5:$I$132&gt;=BA$3)*'Assignment Calc'!$K$5:$K$132*'Assignment Calc'!$L$5:$L$132))</f>
        <v>9</v>
      </c>
      <c r="BB10" s="26" t="n">
        <f aca="false">IF(WEEKDAY(BB$3,2)&gt;5,0,SUMPRODUCT(('Assignment Calc'!$D$5:$D$132=$A10)*('Assignment Calc'!$H$5:$H$132&lt;&gt;"")*('Assignment Calc'!$H$5:$H$132&lt;=BB$3)*('Assignment Calc'!$I$5:$I$132&gt;=BB$3)*'Assignment Calc'!$K$5:$K$132*'Assignment Calc'!$L$5:$L$132))</f>
        <v>0</v>
      </c>
      <c r="BC10" s="26" t="n">
        <f aca="false">IF(WEEKDAY(BC$3,2)&gt;5,0,SUMPRODUCT(('Assignment Calc'!$D$5:$D$132=$A10)*('Assignment Calc'!$H$5:$H$132&lt;&gt;"")*('Assignment Calc'!$H$5:$H$132&lt;=BC$3)*('Assignment Calc'!$I$5:$I$132&gt;=BC$3)*'Assignment Calc'!$K$5:$K$132*'Assignment Calc'!$L$5:$L$132))</f>
        <v>0</v>
      </c>
      <c r="BD10" s="26" t="n">
        <f aca="false">IF(WEEKDAY(BD$3,2)&gt;5,0,SUMPRODUCT(('Assignment Calc'!$D$5:$D$132=$A10)*('Assignment Calc'!$H$5:$H$132&lt;&gt;"")*('Assignment Calc'!$H$5:$H$132&lt;=BD$3)*('Assignment Calc'!$I$5:$I$132&gt;=BD$3)*'Assignment Calc'!$K$5:$K$132*'Assignment Calc'!$L$5:$L$132))</f>
        <v>2.25</v>
      </c>
      <c r="BE10" s="26" t="n">
        <f aca="false">IF(WEEKDAY(BE$3,2)&gt;5,0,SUMPRODUCT(('Assignment Calc'!$D$5:$D$132=$A10)*('Assignment Calc'!$H$5:$H$132&lt;&gt;"")*('Assignment Calc'!$H$5:$H$132&lt;=BE$3)*('Assignment Calc'!$I$5:$I$132&gt;=BE$3)*'Assignment Calc'!$K$5:$K$132*'Assignment Calc'!$L$5:$L$132))</f>
        <v>2.25</v>
      </c>
      <c r="BF10" s="26" t="n">
        <f aca="false">IF(WEEKDAY(BF$3,2)&gt;5,0,SUMPRODUCT(('Assignment Calc'!$D$5:$D$132=$A10)*('Assignment Calc'!$H$5:$H$132&lt;&gt;"")*('Assignment Calc'!$H$5:$H$132&lt;=BF$3)*('Assignment Calc'!$I$5:$I$132&gt;=BF$3)*'Assignment Calc'!$K$5:$K$132*'Assignment Calc'!$L$5:$L$132))</f>
        <v>2.25</v>
      </c>
      <c r="BG10" s="26" t="n">
        <f aca="false">IF(WEEKDAY(BG$3,2)&gt;5,0,SUMPRODUCT(('Assignment Calc'!$D$5:$D$132=$A10)*('Assignment Calc'!$H$5:$H$132&lt;&gt;"")*('Assignment Calc'!$H$5:$H$132&lt;=BG$3)*('Assignment Calc'!$I$5:$I$132&gt;=BG$3)*'Assignment Calc'!$K$5:$K$132*'Assignment Calc'!$L$5:$L$132))</f>
        <v>2.25</v>
      </c>
      <c r="BH10" s="26" t="n">
        <f aca="false">IF(WEEKDAY(BH$3,2)&gt;5,0,SUMPRODUCT(('Assignment Calc'!$D$5:$D$132=$A10)*('Assignment Calc'!$H$5:$H$132&lt;&gt;"")*('Assignment Calc'!$H$5:$H$132&lt;=BH$3)*('Assignment Calc'!$I$5:$I$132&gt;=BH$3)*'Assignment Calc'!$K$5:$K$132*'Assignment Calc'!$L$5:$L$132))</f>
        <v>2.25</v>
      </c>
      <c r="BI10" s="26" t="n">
        <f aca="false">IF(WEEKDAY(BI$3,2)&gt;5,0,SUMPRODUCT(('Assignment Calc'!$D$5:$D$132=$A10)*('Assignment Calc'!$H$5:$H$132&lt;&gt;"")*('Assignment Calc'!$H$5:$H$132&lt;=BI$3)*('Assignment Calc'!$I$5:$I$132&gt;=BI$3)*'Assignment Calc'!$K$5:$K$132*'Assignment Calc'!$L$5:$L$132))</f>
        <v>0</v>
      </c>
      <c r="BJ10" s="26" t="n">
        <f aca="false">IF(WEEKDAY(BJ$3,2)&gt;5,0,SUMPRODUCT(('Assignment Calc'!$D$5:$D$132=$A10)*('Assignment Calc'!$H$5:$H$132&lt;&gt;"")*('Assignment Calc'!$H$5:$H$132&lt;=BJ$3)*('Assignment Calc'!$I$5:$I$132&gt;=BJ$3)*'Assignment Calc'!$K$5:$K$132*'Assignment Calc'!$L$5:$L$132))</f>
        <v>0</v>
      </c>
      <c r="BK10" s="26" t="n">
        <f aca="false">IF(WEEKDAY(BK$3,2)&gt;5,0,SUMPRODUCT(('Assignment Calc'!$D$5:$D$132=$A10)*('Assignment Calc'!$H$5:$H$132&lt;&gt;"")*('Assignment Calc'!$H$5:$H$132&lt;=BK$3)*('Assignment Calc'!$I$5:$I$132&gt;=BK$3)*'Assignment Calc'!$K$5:$K$132*'Assignment Calc'!$L$5:$L$132))</f>
        <v>0</v>
      </c>
      <c r="BL10" s="26" t="n">
        <f aca="false">IF(WEEKDAY(BL$3,2)&gt;5,0,SUMPRODUCT(('Assignment Calc'!$D$5:$D$132=$A10)*('Assignment Calc'!$H$5:$H$132&lt;&gt;"")*('Assignment Calc'!$H$5:$H$132&lt;=BL$3)*('Assignment Calc'!$I$5:$I$132&gt;=BL$3)*'Assignment Calc'!$K$5:$K$132*'Assignment Calc'!$L$5:$L$132))</f>
        <v>3</v>
      </c>
      <c r="BM10" s="26" t="n">
        <f aca="false">IF(WEEKDAY(BM$3,2)&gt;5,0,SUMPRODUCT(('Assignment Calc'!$D$5:$D$132=$A10)*('Assignment Calc'!$H$5:$H$132&lt;&gt;"")*('Assignment Calc'!$H$5:$H$132&lt;=BM$3)*('Assignment Calc'!$I$5:$I$132&gt;=BM$3)*'Assignment Calc'!$K$5:$K$132*'Assignment Calc'!$L$5:$L$132))</f>
        <v>3</v>
      </c>
      <c r="BN10" s="26" t="n">
        <f aca="false">IF(WEEKDAY(BN$3,2)&gt;5,0,SUMPRODUCT(('Assignment Calc'!$D$5:$D$132=$A10)*('Assignment Calc'!$H$5:$H$132&lt;&gt;"")*('Assignment Calc'!$H$5:$H$132&lt;=BN$3)*('Assignment Calc'!$I$5:$I$132&gt;=BN$3)*'Assignment Calc'!$K$5:$K$132*'Assignment Calc'!$L$5:$L$132))</f>
        <v>3</v>
      </c>
      <c r="BO10" s="26" t="n">
        <f aca="false">IF(WEEKDAY(BO$3,2)&gt;5,0,SUMPRODUCT(('Assignment Calc'!$D$5:$D$132=$A10)*('Assignment Calc'!$H$5:$H$132&lt;&gt;"")*('Assignment Calc'!$H$5:$H$132&lt;=BO$3)*('Assignment Calc'!$I$5:$I$132&gt;=BO$3)*'Assignment Calc'!$K$5:$K$132*'Assignment Calc'!$L$5:$L$132))</f>
        <v>3</v>
      </c>
      <c r="BP10" s="26" t="n">
        <f aca="false">IF(WEEKDAY(BP$3,2)&gt;5,0,SUMPRODUCT(('Assignment Calc'!$D$5:$D$132=$A10)*('Assignment Calc'!$H$5:$H$132&lt;&gt;"")*('Assignment Calc'!$H$5:$H$132&lt;=BP$3)*('Assignment Calc'!$I$5:$I$132&gt;=BP$3)*'Assignment Calc'!$K$5:$K$132*'Assignment Calc'!$L$5:$L$132))</f>
        <v>0</v>
      </c>
      <c r="BQ10" s="26" t="n">
        <f aca="false">IF(WEEKDAY(BQ$3,2)&gt;5,0,SUMPRODUCT(('Assignment Calc'!$D$5:$D$132=$A10)*('Assignment Calc'!$H$5:$H$132&lt;&gt;"")*('Assignment Calc'!$H$5:$H$132&lt;=BQ$3)*('Assignment Calc'!$I$5:$I$132&gt;=BQ$3)*'Assignment Calc'!$K$5:$K$132*'Assignment Calc'!$L$5:$L$132))</f>
        <v>0</v>
      </c>
      <c r="BR10" s="26" t="n">
        <f aca="false">IF(WEEKDAY(BR$3,2)&gt;5,0,SUMPRODUCT(('Assignment Calc'!$D$5:$D$132=$A10)*('Assignment Calc'!$H$5:$H$132&lt;&gt;"")*('Assignment Calc'!$H$5:$H$132&lt;=BR$3)*('Assignment Calc'!$I$5:$I$132&gt;=BR$3)*'Assignment Calc'!$K$5:$K$132*'Assignment Calc'!$L$5:$L$132))</f>
        <v>10.5</v>
      </c>
      <c r="BS10" s="26" t="n">
        <f aca="false">IF(WEEKDAY(BS$3,2)&gt;5,0,SUMPRODUCT(('Assignment Calc'!$D$5:$D$132=$A10)*('Assignment Calc'!$H$5:$H$132&lt;&gt;"")*('Assignment Calc'!$H$5:$H$132&lt;=BS$3)*('Assignment Calc'!$I$5:$I$132&gt;=BS$3)*'Assignment Calc'!$K$5:$K$132*'Assignment Calc'!$L$5:$L$132))</f>
        <v>10.5</v>
      </c>
      <c r="BT10" s="26" t="n">
        <f aca="false">IF(WEEKDAY(BT$3,2)&gt;5,0,SUMPRODUCT(('Assignment Calc'!$D$5:$D$132=$A10)*('Assignment Calc'!$H$5:$H$132&lt;&gt;"")*('Assignment Calc'!$H$5:$H$132&lt;=BT$3)*('Assignment Calc'!$I$5:$I$132&gt;=BT$3)*'Assignment Calc'!$K$5:$K$132*'Assignment Calc'!$L$5:$L$132))</f>
        <v>10.5</v>
      </c>
      <c r="BU10" s="26" t="n">
        <f aca="false">IF(WEEKDAY(BU$3,2)&gt;5,0,SUMPRODUCT(('Assignment Calc'!$D$5:$D$132=$A10)*('Assignment Calc'!$H$5:$H$132&lt;&gt;"")*('Assignment Calc'!$H$5:$H$132&lt;=BU$3)*('Assignment Calc'!$I$5:$I$132&gt;=BU$3)*'Assignment Calc'!$K$5:$K$132*'Assignment Calc'!$L$5:$L$132))</f>
        <v>10.5</v>
      </c>
      <c r="BV10" s="26" t="n">
        <f aca="false">IF(WEEKDAY(BV$3,2)&gt;5,0,SUMPRODUCT(('Assignment Calc'!$D$5:$D$132=$A10)*('Assignment Calc'!$H$5:$H$132&lt;&gt;"")*('Assignment Calc'!$H$5:$H$132&lt;=BV$3)*('Assignment Calc'!$I$5:$I$132&gt;=BV$3)*'Assignment Calc'!$K$5:$K$132*'Assignment Calc'!$L$5:$L$132))</f>
        <v>10.5</v>
      </c>
      <c r="BW10" s="26" t="n">
        <f aca="false">IF(WEEKDAY(BW$3,2)&gt;5,0,SUMPRODUCT(('Assignment Calc'!$D$5:$D$132=$A10)*('Assignment Calc'!$H$5:$H$132&lt;&gt;"")*('Assignment Calc'!$H$5:$H$132&lt;=BW$3)*('Assignment Calc'!$I$5:$I$132&gt;=BW$3)*'Assignment Calc'!$K$5:$K$132*'Assignment Calc'!$L$5:$L$132))</f>
        <v>0</v>
      </c>
      <c r="BX10" s="26" t="n">
        <f aca="false">IF(WEEKDAY(BX$3,2)&gt;5,0,SUMPRODUCT(('Assignment Calc'!$D$5:$D$132=$A10)*('Assignment Calc'!$H$5:$H$132&lt;&gt;"")*('Assignment Calc'!$H$5:$H$132&lt;=BX$3)*('Assignment Calc'!$I$5:$I$132&gt;=BX$3)*'Assignment Calc'!$K$5:$K$132*'Assignment Calc'!$L$5:$L$132))</f>
        <v>0</v>
      </c>
      <c r="BY10" s="26" t="n">
        <f aca="false">IF(WEEKDAY(BY$3,2)&gt;5,0,SUMPRODUCT(('Assignment Calc'!$D$5:$D$132=$A10)*('Assignment Calc'!$H$5:$H$132&lt;&gt;"")*('Assignment Calc'!$H$5:$H$132&lt;=BY$3)*('Assignment Calc'!$I$5:$I$132&gt;=BY$3)*'Assignment Calc'!$K$5:$K$132*'Assignment Calc'!$L$5:$L$132))</f>
        <v>9</v>
      </c>
      <c r="BZ10" s="26" t="n">
        <f aca="false">IF(WEEKDAY(BZ$3,2)&gt;5,0,SUMPRODUCT(('Assignment Calc'!$D$5:$D$132=$A10)*('Assignment Calc'!$H$5:$H$132&lt;&gt;"")*('Assignment Calc'!$H$5:$H$132&lt;=BZ$3)*('Assignment Calc'!$I$5:$I$132&gt;=BZ$3)*'Assignment Calc'!$K$5:$K$132*'Assignment Calc'!$L$5:$L$132))</f>
        <v>9</v>
      </c>
      <c r="CA10" s="26" t="n">
        <f aca="false">IF(WEEKDAY(CA$3,2)&gt;5,0,SUMPRODUCT(('Assignment Calc'!$D$5:$D$132=$A10)*('Assignment Calc'!$H$5:$H$132&lt;&gt;"")*('Assignment Calc'!$H$5:$H$132&lt;=CA$3)*('Assignment Calc'!$I$5:$I$132&gt;=CA$3)*'Assignment Calc'!$K$5:$K$132*'Assignment Calc'!$L$5:$L$132))</f>
        <v>9</v>
      </c>
      <c r="CB10" s="26" t="n">
        <f aca="false">IF(WEEKDAY(CB$3,2)&gt;5,0,SUMPRODUCT(('Assignment Calc'!$D$5:$D$132=$A10)*('Assignment Calc'!$H$5:$H$132&lt;&gt;"")*('Assignment Calc'!$H$5:$H$132&lt;=CB$3)*('Assignment Calc'!$I$5:$I$132&gt;=CB$3)*'Assignment Calc'!$K$5:$K$132*'Assignment Calc'!$L$5:$L$132))</f>
        <v>9</v>
      </c>
      <c r="CC10" s="26" t="n">
        <f aca="false">IF(WEEKDAY(CC$3,2)&gt;5,0,SUMPRODUCT(('Assignment Calc'!$D$5:$D$132=$A10)*('Assignment Calc'!$H$5:$H$132&lt;&gt;"")*('Assignment Calc'!$H$5:$H$132&lt;=CC$3)*('Assignment Calc'!$I$5:$I$132&gt;=CC$3)*'Assignment Calc'!$K$5:$K$132*'Assignment Calc'!$L$5:$L$132))</f>
        <v>9</v>
      </c>
      <c r="CD10" s="26" t="n">
        <f aca="false">IF(WEEKDAY(CD$3,2)&gt;5,0,SUMPRODUCT(('Assignment Calc'!$D$5:$D$132=$A10)*('Assignment Calc'!$H$5:$H$132&lt;&gt;"")*('Assignment Calc'!$H$5:$H$132&lt;=CD$3)*('Assignment Calc'!$I$5:$I$132&gt;=CD$3)*'Assignment Calc'!$K$5:$K$132*'Assignment Calc'!$L$5:$L$132))</f>
        <v>0</v>
      </c>
      <c r="CE10" s="26" t="n">
        <f aca="false">IF(WEEKDAY(CE$3,2)&gt;5,0,SUMPRODUCT(('Assignment Calc'!$D$5:$D$132=$A10)*('Assignment Calc'!$H$5:$H$132&lt;&gt;"")*('Assignment Calc'!$H$5:$H$132&lt;=CE$3)*('Assignment Calc'!$I$5:$I$132&gt;=CE$3)*'Assignment Calc'!$K$5:$K$132*'Assignment Calc'!$L$5:$L$132))</f>
        <v>0</v>
      </c>
      <c r="CF10" s="26" t="n">
        <f aca="false">IF(WEEKDAY(CF$3,2)&gt;5,0,SUMPRODUCT(('Assignment Calc'!$D$5:$D$132=$A10)*('Assignment Calc'!$H$5:$H$132&lt;&gt;"")*('Assignment Calc'!$H$5:$H$132&lt;=CF$3)*('Assignment Calc'!$I$5:$I$132&gt;=CF$3)*'Assignment Calc'!$K$5:$K$132*'Assignment Calc'!$L$5:$L$132))</f>
        <v>4.5</v>
      </c>
      <c r="CG10" s="26" t="n">
        <f aca="false">IF(WEEKDAY(CG$3,2)&gt;5,0,SUMPRODUCT(('Assignment Calc'!$D$5:$D$132=$A10)*('Assignment Calc'!$H$5:$H$132&lt;&gt;"")*('Assignment Calc'!$H$5:$H$132&lt;=CG$3)*('Assignment Calc'!$I$5:$I$132&gt;=CG$3)*'Assignment Calc'!$K$5:$K$132*'Assignment Calc'!$L$5:$L$132))</f>
        <v>4.5</v>
      </c>
      <c r="CH10" s="26" t="n">
        <f aca="false">IF(WEEKDAY(CH$3,2)&gt;5,0,SUMPRODUCT(('Assignment Calc'!$D$5:$D$132=$A10)*('Assignment Calc'!$H$5:$H$132&lt;&gt;"")*('Assignment Calc'!$H$5:$H$132&lt;=CH$3)*('Assignment Calc'!$I$5:$I$132&gt;=CH$3)*'Assignment Calc'!$K$5:$K$132*'Assignment Calc'!$L$5:$L$132))</f>
        <v>4.5</v>
      </c>
      <c r="CI10" s="26" t="n">
        <f aca="false">IF(WEEKDAY(CI$3,2)&gt;5,0,SUMPRODUCT(('Assignment Calc'!$D$5:$D$132=$A10)*('Assignment Calc'!$H$5:$H$132&lt;&gt;"")*('Assignment Calc'!$H$5:$H$132&lt;=CI$3)*('Assignment Calc'!$I$5:$I$132&gt;=CI$3)*'Assignment Calc'!$K$5:$K$132*'Assignment Calc'!$L$5:$L$132))</f>
        <v>4.5</v>
      </c>
      <c r="CJ10" s="26" t="n">
        <f aca="false">IF(WEEKDAY(CJ$3,2)&gt;5,0,SUMPRODUCT(('Assignment Calc'!$D$5:$D$132=$A10)*('Assignment Calc'!$H$5:$H$132&lt;&gt;"")*('Assignment Calc'!$H$5:$H$132&lt;=CJ$3)*('Assignment Calc'!$I$5:$I$132&gt;=CJ$3)*'Assignment Calc'!$K$5:$K$132*'Assignment Calc'!$L$5:$L$132))</f>
        <v>4.5</v>
      </c>
      <c r="CK10" s="26" t="n">
        <f aca="false">IF(WEEKDAY(CK$3,2)&gt;5,0,SUMPRODUCT(('Assignment Calc'!$D$5:$D$132=$A10)*('Assignment Calc'!$H$5:$H$132&lt;&gt;"")*('Assignment Calc'!$H$5:$H$132&lt;=CK$3)*('Assignment Calc'!$I$5:$I$132&gt;=CK$3)*'Assignment Calc'!$K$5:$K$132*'Assignment Calc'!$L$5:$L$132))</f>
        <v>0</v>
      </c>
      <c r="CL10" s="26" t="n">
        <f aca="false">IF(WEEKDAY(CL$3,2)&gt;5,0,SUMPRODUCT(('Assignment Calc'!$D$5:$D$132=$A10)*('Assignment Calc'!$H$5:$H$132&lt;&gt;"")*('Assignment Calc'!$H$5:$H$132&lt;=CL$3)*('Assignment Calc'!$I$5:$I$132&gt;=CL$3)*'Assignment Calc'!$K$5:$K$132*'Assignment Calc'!$L$5:$L$132))</f>
        <v>0</v>
      </c>
      <c r="CM10" s="26" t="n">
        <f aca="false">IF(WEEKDAY(CM$3,2)&gt;5,0,SUMPRODUCT(('Assignment Calc'!$D$5:$D$132=$A10)*('Assignment Calc'!$H$5:$H$132&lt;&gt;"")*('Assignment Calc'!$H$5:$H$132&lt;=CM$3)*('Assignment Calc'!$I$5:$I$132&gt;=CM$3)*'Assignment Calc'!$K$5:$K$132*'Assignment Calc'!$L$5:$L$132))</f>
        <v>0</v>
      </c>
      <c r="CN10" s="26" t="n">
        <f aca="false">IF(WEEKDAY(CN$3,2)&gt;5,0,SUMPRODUCT(('Assignment Calc'!$D$5:$D$132=$A10)*('Assignment Calc'!$H$5:$H$132&lt;&gt;"")*('Assignment Calc'!$H$5:$H$132&lt;=CN$3)*('Assignment Calc'!$I$5:$I$132&gt;=CN$3)*'Assignment Calc'!$K$5:$K$132*'Assignment Calc'!$L$5:$L$132))</f>
        <v>0</v>
      </c>
      <c r="CO10" s="26" t="n">
        <f aca="false">IF(WEEKDAY(CO$3,2)&gt;5,0,SUMPRODUCT(('Assignment Calc'!$D$5:$D$132=$A10)*('Assignment Calc'!$H$5:$H$132&lt;&gt;"")*('Assignment Calc'!$H$5:$H$132&lt;=CO$3)*('Assignment Calc'!$I$5:$I$132&gt;=CO$3)*'Assignment Calc'!$K$5:$K$132*'Assignment Calc'!$L$5:$L$132))</f>
        <v>0</v>
      </c>
      <c r="CP10" s="26" t="n">
        <f aca="false">IF(WEEKDAY(CP$3,2)&gt;5,0,SUMPRODUCT(('Assignment Calc'!$D$5:$D$132=$A10)*('Assignment Calc'!$H$5:$H$132&lt;&gt;"")*('Assignment Calc'!$H$5:$H$132&lt;=CP$3)*('Assignment Calc'!$I$5:$I$132&gt;=CP$3)*'Assignment Calc'!$K$5:$K$132*'Assignment Calc'!$L$5:$L$132))</f>
        <v>0</v>
      </c>
    </row>
    <row r="11" customFormat="false" ht="15" hidden="false" customHeight="true" outlineLevel="0" collapsed="false">
      <c r="A11" s="2" t="s">
        <v>397</v>
      </c>
      <c r="B11" s="23" t="n">
        <f aca="false">SUM(C11:CP11)</f>
        <v>415.65</v>
      </c>
      <c r="C11" s="26" t="n">
        <f aca="false">IF(WEEKDAY(C$3,2)&gt;5,0,SUMPRODUCT(('Assignment Calc'!$D$5:$D$132=$A11)*('Assignment Calc'!$H$5:$H$132&lt;&gt;"")*('Assignment Calc'!$H$5:$H$132&lt;=C$3)*('Assignment Calc'!$I$5:$I$132&gt;=C$3)*'Assignment Calc'!$K$5:$K$132*'Assignment Calc'!$L$5:$L$132))</f>
        <v>5.4</v>
      </c>
      <c r="D11" s="26" t="n">
        <f aca="false">IF(WEEKDAY(D$3,2)&gt;5,0,SUMPRODUCT(('Assignment Calc'!$D$5:$D$132=$A11)*('Assignment Calc'!$H$5:$H$132&lt;&gt;"")*('Assignment Calc'!$H$5:$H$132&lt;=D$3)*('Assignment Calc'!$I$5:$I$132&gt;=D$3)*'Assignment Calc'!$K$5:$K$132*'Assignment Calc'!$L$5:$L$132))</f>
        <v>0</v>
      </c>
      <c r="E11" s="26" t="n">
        <f aca="false">IF(WEEKDAY(E$3,2)&gt;5,0,SUMPRODUCT(('Assignment Calc'!$D$5:$D$132=$A11)*('Assignment Calc'!$H$5:$H$132&lt;&gt;"")*('Assignment Calc'!$H$5:$H$132&lt;=E$3)*('Assignment Calc'!$I$5:$I$132&gt;=E$3)*'Assignment Calc'!$K$5:$K$132*'Assignment Calc'!$L$5:$L$132))</f>
        <v>0</v>
      </c>
      <c r="F11" s="26" t="n">
        <f aca="false">IF(WEEKDAY(F$3,2)&gt;5,0,SUMPRODUCT(('Assignment Calc'!$D$5:$D$132=$A11)*('Assignment Calc'!$H$5:$H$132&lt;&gt;"")*('Assignment Calc'!$H$5:$H$132&lt;=F$3)*('Assignment Calc'!$I$5:$I$132&gt;=F$3)*'Assignment Calc'!$K$5:$K$132*'Assignment Calc'!$L$5:$L$132))</f>
        <v>0</v>
      </c>
      <c r="G11" s="26" t="n">
        <f aca="false">IF(WEEKDAY(G$3,2)&gt;5,0,SUMPRODUCT(('Assignment Calc'!$D$5:$D$132=$A11)*('Assignment Calc'!$H$5:$H$132&lt;&gt;"")*('Assignment Calc'!$H$5:$H$132&lt;=G$3)*('Assignment Calc'!$I$5:$I$132&gt;=G$3)*'Assignment Calc'!$K$5:$K$132*'Assignment Calc'!$L$5:$L$132))</f>
        <v>0</v>
      </c>
      <c r="H11" s="26" t="n">
        <f aca="false">IF(WEEKDAY(H$3,2)&gt;5,0,SUMPRODUCT(('Assignment Calc'!$D$5:$D$132=$A11)*('Assignment Calc'!$H$5:$H$132&lt;&gt;"")*('Assignment Calc'!$H$5:$H$132&lt;=H$3)*('Assignment Calc'!$I$5:$I$132&gt;=H$3)*'Assignment Calc'!$K$5:$K$132*'Assignment Calc'!$L$5:$L$132))</f>
        <v>0</v>
      </c>
      <c r="I11" s="26" t="n">
        <f aca="false">IF(WEEKDAY(I$3,2)&gt;5,0,SUMPRODUCT(('Assignment Calc'!$D$5:$D$132=$A11)*('Assignment Calc'!$H$5:$H$132&lt;&gt;"")*('Assignment Calc'!$H$5:$H$132&lt;=I$3)*('Assignment Calc'!$I$5:$I$132&gt;=I$3)*'Assignment Calc'!$K$5:$K$132*'Assignment Calc'!$L$5:$L$132))</f>
        <v>0</v>
      </c>
      <c r="J11" s="26" t="n">
        <f aca="false">IF(WEEKDAY(J$3,2)&gt;5,0,SUMPRODUCT(('Assignment Calc'!$D$5:$D$132=$A11)*('Assignment Calc'!$H$5:$H$132&lt;&gt;"")*('Assignment Calc'!$H$5:$H$132&lt;=J$3)*('Assignment Calc'!$I$5:$I$132&gt;=J$3)*'Assignment Calc'!$K$5:$K$132*'Assignment Calc'!$L$5:$L$132))</f>
        <v>0</v>
      </c>
      <c r="K11" s="26" t="n">
        <f aca="false">IF(WEEKDAY(K$3,2)&gt;5,0,SUMPRODUCT(('Assignment Calc'!$D$5:$D$132=$A11)*('Assignment Calc'!$H$5:$H$132&lt;&gt;"")*('Assignment Calc'!$H$5:$H$132&lt;=K$3)*('Assignment Calc'!$I$5:$I$132&gt;=K$3)*'Assignment Calc'!$K$5:$K$132*'Assignment Calc'!$L$5:$L$132))</f>
        <v>0</v>
      </c>
      <c r="L11" s="26" t="n">
        <f aca="false">IF(WEEKDAY(L$3,2)&gt;5,0,SUMPRODUCT(('Assignment Calc'!$D$5:$D$132=$A11)*('Assignment Calc'!$H$5:$H$132&lt;&gt;"")*('Assignment Calc'!$H$5:$H$132&lt;=L$3)*('Assignment Calc'!$I$5:$I$132&gt;=L$3)*'Assignment Calc'!$K$5:$K$132*'Assignment Calc'!$L$5:$L$132))</f>
        <v>0</v>
      </c>
      <c r="M11" s="26" t="n">
        <f aca="false">IF(WEEKDAY(M$3,2)&gt;5,0,SUMPRODUCT(('Assignment Calc'!$D$5:$D$132=$A11)*('Assignment Calc'!$H$5:$H$132&lt;&gt;"")*('Assignment Calc'!$H$5:$H$132&lt;=M$3)*('Assignment Calc'!$I$5:$I$132&gt;=M$3)*'Assignment Calc'!$K$5:$K$132*'Assignment Calc'!$L$5:$L$132))</f>
        <v>0</v>
      </c>
      <c r="N11" s="26" t="n">
        <f aca="false">IF(WEEKDAY(N$3,2)&gt;5,0,SUMPRODUCT(('Assignment Calc'!$D$5:$D$132=$A11)*('Assignment Calc'!$H$5:$H$132&lt;&gt;"")*('Assignment Calc'!$H$5:$H$132&lt;=N$3)*('Assignment Calc'!$I$5:$I$132&gt;=N$3)*'Assignment Calc'!$K$5:$K$132*'Assignment Calc'!$L$5:$L$132))</f>
        <v>9.5</v>
      </c>
      <c r="O11" s="26" t="n">
        <f aca="false">IF(WEEKDAY(O$3,2)&gt;5,0,SUMPRODUCT(('Assignment Calc'!$D$5:$D$132=$A11)*('Assignment Calc'!$H$5:$H$132&lt;&gt;"")*('Assignment Calc'!$H$5:$H$132&lt;=O$3)*('Assignment Calc'!$I$5:$I$132&gt;=O$3)*'Assignment Calc'!$K$5:$K$132*'Assignment Calc'!$L$5:$L$132))</f>
        <v>9.5</v>
      </c>
      <c r="P11" s="26" t="n">
        <f aca="false">IF(WEEKDAY(P$3,2)&gt;5,0,SUMPRODUCT(('Assignment Calc'!$D$5:$D$132=$A11)*('Assignment Calc'!$H$5:$H$132&lt;&gt;"")*('Assignment Calc'!$H$5:$H$132&lt;=P$3)*('Assignment Calc'!$I$5:$I$132&gt;=P$3)*'Assignment Calc'!$K$5:$K$132*'Assignment Calc'!$L$5:$L$132))</f>
        <v>9.5</v>
      </c>
      <c r="Q11" s="26" t="n">
        <f aca="false">IF(WEEKDAY(Q$3,2)&gt;5,0,SUMPRODUCT(('Assignment Calc'!$D$5:$D$132=$A11)*('Assignment Calc'!$H$5:$H$132&lt;&gt;"")*('Assignment Calc'!$H$5:$H$132&lt;=Q$3)*('Assignment Calc'!$I$5:$I$132&gt;=Q$3)*'Assignment Calc'!$K$5:$K$132*'Assignment Calc'!$L$5:$L$132))</f>
        <v>9.5</v>
      </c>
      <c r="R11" s="26" t="n">
        <f aca="false">IF(WEEKDAY(R$3,2)&gt;5,0,SUMPRODUCT(('Assignment Calc'!$D$5:$D$132=$A11)*('Assignment Calc'!$H$5:$H$132&lt;&gt;"")*('Assignment Calc'!$H$5:$H$132&lt;=R$3)*('Assignment Calc'!$I$5:$I$132&gt;=R$3)*'Assignment Calc'!$K$5:$K$132*'Assignment Calc'!$L$5:$L$132))</f>
        <v>9.5</v>
      </c>
      <c r="S11" s="26" t="n">
        <f aca="false">IF(WEEKDAY(S$3,2)&gt;5,0,SUMPRODUCT(('Assignment Calc'!$D$5:$D$132=$A11)*('Assignment Calc'!$H$5:$H$132&lt;&gt;"")*('Assignment Calc'!$H$5:$H$132&lt;=S$3)*('Assignment Calc'!$I$5:$I$132&gt;=S$3)*'Assignment Calc'!$K$5:$K$132*'Assignment Calc'!$L$5:$L$132))</f>
        <v>0</v>
      </c>
      <c r="T11" s="26" t="n">
        <f aca="false">IF(WEEKDAY(T$3,2)&gt;5,0,SUMPRODUCT(('Assignment Calc'!$D$5:$D$132=$A11)*('Assignment Calc'!$H$5:$H$132&lt;&gt;"")*('Assignment Calc'!$H$5:$H$132&lt;=T$3)*('Assignment Calc'!$I$5:$I$132&gt;=T$3)*'Assignment Calc'!$K$5:$K$132*'Assignment Calc'!$L$5:$L$132))</f>
        <v>0</v>
      </c>
      <c r="U11" s="26" t="n">
        <f aca="false">IF(WEEKDAY(U$3,2)&gt;5,0,SUMPRODUCT(('Assignment Calc'!$D$5:$D$132=$A11)*('Assignment Calc'!$H$5:$H$132&lt;&gt;"")*('Assignment Calc'!$H$5:$H$132&lt;=U$3)*('Assignment Calc'!$I$5:$I$132&gt;=U$3)*'Assignment Calc'!$K$5:$K$132*'Assignment Calc'!$L$5:$L$132))</f>
        <v>9</v>
      </c>
      <c r="V11" s="26" t="n">
        <f aca="false">IF(WEEKDAY(V$3,2)&gt;5,0,SUMPRODUCT(('Assignment Calc'!$D$5:$D$132=$A11)*('Assignment Calc'!$H$5:$H$132&lt;&gt;"")*('Assignment Calc'!$H$5:$H$132&lt;=V$3)*('Assignment Calc'!$I$5:$I$132&gt;=V$3)*'Assignment Calc'!$K$5:$K$132*'Assignment Calc'!$L$5:$L$132))</f>
        <v>9</v>
      </c>
      <c r="W11" s="26" t="n">
        <f aca="false">IF(WEEKDAY(W$3,2)&gt;5,0,SUMPRODUCT(('Assignment Calc'!$D$5:$D$132=$A11)*('Assignment Calc'!$H$5:$H$132&lt;&gt;"")*('Assignment Calc'!$H$5:$H$132&lt;=W$3)*('Assignment Calc'!$I$5:$I$132&gt;=W$3)*'Assignment Calc'!$K$5:$K$132*'Assignment Calc'!$L$5:$L$132))</f>
        <v>9</v>
      </c>
      <c r="X11" s="26" t="n">
        <f aca="false">IF(WEEKDAY(X$3,2)&gt;5,0,SUMPRODUCT(('Assignment Calc'!$D$5:$D$132=$A11)*('Assignment Calc'!$H$5:$H$132&lt;&gt;"")*('Assignment Calc'!$H$5:$H$132&lt;=X$3)*('Assignment Calc'!$I$5:$I$132&gt;=X$3)*'Assignment Calc'!$K$5:$K$132*'Assignment Calc'!$L$5:$L$132))</f>
        <v>9</v>
      </c>
      <c r="Y11" s="26" t="n">
        <f aca="false">IF(WEEKDAY(Y$3,2)&gt;5,0,SUMPRODUCT(('Assignment Calc'!$D$5:$D$132=$A11)*('Assignment Calc'!$H$5:$H$132&lt;&gt;"")*('Assignment Calc'!$H$5:$H$132&lt;=Y$3)*('Assignment Calc'!$I$5:$I$132&gt;=Y$3)*'Assignment Calc'!$K$5:$K$132*'Assignment Calc'!$L$5:$L$132))</f>
        <v>9</v>
      </c>
      <c r="Z11" s="26" t="n">
        <f aca="false">IF(WEEKDAY(Z$3,2)&gt;5,0,SUMPRODUCT(('Assignment Calc'!$D$5:$D$132=$A11)*('Assignment Calc'!$H$5:$H$132&lt;&gt;"")*('Assignment Calc'!$H$5:$H$132&lt;=Z$3)*('Assignment Calc'!$I$5:$I$132&gt;=Z$3)*'Assignment Calc'!$K$5:$K$132*'Assignment Calc'!$L$5:$L$132))</f>
        <v>0</v>
      </c>
      <c r="AA11" s="26" t="n">
        <f aca="false">IF(WEEKDAY(AA$3,2)&gt;5,0,SUMPRODUCT(('Assignment Calc'!$D$5:$D$132=$A11)*('Assignment Calc'!$H$5:$H$132&lt;&gt;"")*('Assignment Calc'!$H$5:$H$132&lt;=AA$3)*('Assignment Calc'!$I$5:$I$132&gt;=AA$3)*'Assignment Calc'!$K$5:$K$132*'Assignment Calc'!$L$5:$L$132))</f>
        <v>0</v>
      </c>
      <c r="AB11" s="26" t="n">
        <f aca="false">IF(WEEKDAY(AB$3,2)&gt;5,0,SUMPRODUCT(('Assignment Calc'!$D$5:$D$132=$A11)*('Assignment Calc'!$H$5:$H$132&lt;&gt;"")*('Assignment Calc'!$H$5:$H$132&lt;=AB$3)*('Assignment Calc'!$I$5:$I$132&gt;=AB$3)*'Assignment Calc'!$K$5:$K$132*'Assignment Calc'!$L$5:$L$132))</f>
        <v>8.5</v>
      </c>
      <c r="AC11" s="26" t="n">
        <f aca="false">IF(WEEKDAY(AC$3,2)&gt;5,0,SUMPRODUCT(('Assignment Calc'!$D$5:$D$132=$A11)*('Assignment Calc'!$H$5:$H$132&lt;&gt;"")*('Assignment Calc'!$H$5:$H$132&lt;=AC$3)*('Assignment Calc'!$I$5:$I$132&gt;=AC$3)*'Assignment Calc'!$K$5:$K$132*'Assignment Calc'!$L$5:$L$132))</f>
        <v>8.5</v>
      </c>
      <c r="AD11" s="26" t="n">
        <f aca="false">IF(WEEKDAY(AD$3,2)&gt;5,0,SUMPRODUCT(('Assignment Calc'!$D$5:$D$132=$A11)*('Assignment Calc'!$H$5:$H$132&lt;&gt;"")*('Assignment Calc'!$H$5:$H$132&lt;=AD$3)*('Assignment Calc'!$I$5:$I$132&gt;=AD$3)*'Assignment Calc'!$K$5:$K$132*'Assignment Calc'!$L$5:$L$132))</f>
        <v>8.5</v>
      </c>
      <c r="AE11" s="26" t="n">
        <f aca="false">IF(WEEKDAY(AE$3,2)&gt;5,0,SUMPRODUCT(('Assignment Calc'!$D$5:$D$132=$A11)*('Assignment Calc'!$H$5:$H$132&lt;&gt;"")*('Assignment Calc'!$H$5:$H$132&lt;=AE$3)*('Assignment Calc'!$I$5:$I$132&gt;=AE$3)*'Assignment Calc'!$K$5:$K$132*'Assignment Calc'!$L$5:$L$132))</f>
        <v>8.5</v>
      </c>
      <c r="AF11" s="26" t="n">
        <f aca="false">IF(WEEKDAY(AF$3,2)&gt;5,0,SUMPRODUCT(('Assignment Calc'!$D$5:$D$132=$A11)*('Assignment Calc'!$H$5:$H$132&lt;&gt;"")*('Assignment Calc'!$H$5:$H$132&lt;=AF$3)*('Assignment Calc'!$I$5:$I$132&gt;=AF$3)*'Assignment Calc'!$K$5:$K$132*'Assignment Calc'!$L$5:$L$132))</f>
        <v>8.5</v>
      </c>
      <c r="AG11" s="26" t="n">
        <f aca="false">IF(WEEKDAY(AG$3,2)&gt;5,0,SUMPRODUCT(('Assignment Calc'!$D$5:$D$132=$A11)*('Assignment Calc'!$H$5:$H$132&lt;&gt;"")*('Assignment Calc'!$H$5:$H$132&lt;=AG$3)*('Assignment Calc'!$I$5:$I$132&gt;=AG$3)*'Assignment Calc'!$K$5:$K$132*'Assignment Calc'!$L$5:$L$132))</f>
        <v>0</v>
      </c>
      <c r="AH11" s="26" t="n">
        <f aca="false">IF(WEEKDAY(AH$3,2)&gt;5,0,SUMPRODUCT(('Assignment Calc'!$D$5:$D$132=$A11)*('Assignment Calc'!$H$5:$H$132&lt;&gt;"")*('Assignment Calc'!$H$5:$H$132&lt;=AH$3)*('Assignment Calc'!$I$5:$I$132&gt;=AH$3)*'Assignment Calc'!$K$5:$K$132*'Assignment Calc'!$L$5:$L$132))</f>
        <v>0</v>
      </c>
      <c r="AI11" s="26" t="n">
        <f aca="false">IF(WEEKDAY(AI$3,2)&gt;5,0,SUMPRODUCT(('Assignment Calc'!$D$5:$D$132=$A11)*('Assignment Calc'!$H$5:$H$132&lt;&gt;"")*('Assignment Calc'!$H$5:$H$132&lt;=AI$3)*('Assignment Calc'!$I$5:$I$132&gt;=AI$3)*'Assignment Calc'!$K$5:$K$132*'Assignment Calc'!$L$5:$L$132))</f>
        <v>12</v>
      </c>
      <c r="AJ11" s="26" t="n">
        <f aca="false">IF(WEEKDAY(AJ$3,2)&gt;5,0,SUMPRODUCT(('Assignment Calc'!$D$5:$D$132=$A11)*('Assignment Calc'!$H$5:$H$132&lt;&gt;"")*('Assignment Calc'!$H$5:$H$132&lt;=AJ$3)*('Assignment Calc'!$I$5:$I$132&gt;=AJ$3)*'Assignment Calc'!$K$5:$K$132*'Assignment Calc'!$L$5:$L$132))</f>
        <v>12</v>
      </c>
      <c r="AK11" s="26" t="n">
        <f aca="false">IF(WEEKDAY(AK$3,2)&gt;5,0,SUMPRODUCT(('Assignment Calc'!$D$5:$D$132=$A11)*('Assignment Calc'!$H$5:$H$132&lt;&gt;"")*('Assignment Calc'!$H$5:$H$132&lt;=AK$3)*('Assignment Calc'!$I$5:$I$132&gt;=AK$3)*'Assignment Calc'!$K$5:$K$132*'Assignment Calc'!$L$5:$L$132))</f>
        <v>12</v>
      </c>
      <c r="AL11" s="26" t="n">
        <f aca="false">IF(WEEKDAY(AL$3,2)&gt;5,0,SUMPRODUCT(('Assignment Calc'!$D$5:$D$132=$A11)*('Assignment Calc'!$H$5:$H$132&lt;&gt;"")*('Assignment Calc'!$H$5:$H$132&lt;=AL$3)*('Assignment Calc'!$I$5:$I$132&gt;=AL$3)*'Assignment Calc'!$K$5:$K$132*'Assignment Calc'!$L$5:$L$132))</f>
        <v>12</v>
      </c>
      <c r="AM11" s="26" t="n">
        <f aca="false">IF(WEEKDAY(AM$3,2)&gt;5,0,SUMPRODUCT(('Assignment Calc'!$D$5:$D$132=$A11)*('Assignment Calc'!$H$5:$H$132&lt;&gt;"")*('Assignment Calc'!$H$5:$H$132&lt;=AM$3)*('Assignment Calc'!$I$5:$I$132&gt;=AM$3)*'Assignment Calc'!$K$5:$K$132*'Assignment Calc'!$L$5:$L$132))</f>
        <v>12</v>
      </c>
      <c r="AN11" s="26" t="n">
        <f aca="false">IF(WEEKDAY(AN$3,2)&gt;5,0,SUMPRODUCT(('Assignment Calc'!$D$5:$D$132=$A11)*('Assignment Calc'!$H$5:$H$132&lt;&gt;"")*('Assignment Calc'!$H$5:$H$132&lt;=AN$3)*('Assignment Calc'!$I$5:$I$132&gt;=AN$3)*'Assignment Calc'!$K$5:$K$132*'Assignment Calc'!$L$5:$L$132))</f>
        <v>0</v>
      </c>
      <c r="AO11" s="26" t="n">
        <f aca="false">IF(WEEKDAY(AO$3,2)&gt;5,0,SUMPRODUCT(('Assignment Calc'!$D$5:$D$132=$A11)*('Assignment Calc'!$H$5:$H$132&lt;&gt;"")*('Assignment Calc'!$H$5:$H$132&lt;=AO$3)*('Assignment Calc'!$I$5:$I$132&gt;=AO$3)*'Assignment Calc'!$K$5:$K$132*'Assignment Calc'!$L$5:$L$132))</f>
        <v>0</v>
      </c>
      <c r="AP11" s="26" t="n">
        <f aca="false">IF(WEEKDAY(AP$3,2)&gt;5,0,SUMPRODUCT(('Assignment Calc'!$D$5:$D$132=$A11)*('Assignment Calc'!$H$5:$H$132&lt;&gt;"")*('Assignment Calc'!$H$5:$H$132&lt;=AP$3)*('Assignment Calc'!$I$5:$I$132&gt;=AP$3)*'Assignment Calc'!$K$5:$K$132*'Assignment Calc'!$L$5:$L$132))</f>
        <v>9</v>
      </c>
      <c r="AQ11" s="26" t="n">
        <f aca="false">IF(WEEKDAY(AQ$3,2)&gt;5,0,SUMPRODUCT(('Assignment Calc'!$D$5:$D$132=$A11)*('Assignment Calc'!$H$5:$H$132&lt;&gt;"")*('Assignment Calc'!$H$5:$H$132&lt;=AQ$3)*('Assignment Calc'!$I$5:$I$132&gt;=AQ$3)*'Assignment Calc'!$K$5:$K$132*'Assignment Calc'!$L$5:$L$132))</f>
        <v>9</v>
      </c>
      <c r="AR11" s="26" t="n">
        <f aca="false">IF(WEEKDAY(AR$3,2)&gt;5,0,SUMPRODUCT(('Assignment Calc'!$D$5:$D$132=$A11)*('Assignment Calc'!$H$5:$H$132&lt;&gt;"")*('Assignment Calc'!$H$5:$H$132&lt;=AR$3)*('Assignment Calc'!$I$5:$I$132&gt;=AR$3)*'Assignment Calc'!$K$5:$K$132*'Assignment Calc'!$L$5:$L$132))</f>
        <v>9</v>
      </c>
      <c r="AS11" s="26" t="n">
        <f aca="false">IF(WEEKDAY(AS$3,2)&gt;5,0,SUMPRODUCT(('Assignment Calc'!$D$5:$D$132=$A11)*('Assignment Calc'!$H$5:$H$132&lt;&gt;"")*('Assignment Calc'!$H$5:$H$132&lt;=AS$3)*('Assignment Calc'!$I$5:$I$132&gt;=AS$3)*'Assignment Calc'!$K$5:$K$132*'Assignment Calc'!$L$5:$L$132))</f>
        <v>9</v>
      </c>
      <c r="AT11" s="26" t="n">
        <f aca="false">IF(WEEKDAY(AT$3,2)&gt;5,0,SUMPRODUCT(('Assignment Calc'!$D$5:$D$132=$A11)*('Assignment Calc'!$H$5:$H$132&lt;&gt;"")*('Assignment Calc'!$H$5:$H$132&lt;=AT$3)*('Assignment Calc'!$I$5:$I$132&gt;=AT$3)*'Assignment Calc'!$K$5:$K$132*'Assignment Calc'!$L$5:$L$132))</f>
        <v>9</v>
      </c>
      <c r="AU11" s="26" t="n">
        <f aca="false">IF(WEEKDAY(AU$3,2)&gt;5,0,SUMPRODUCT(('Assignment Calc'!$D$5:$D$132=$A11)*('Assignment Calc'!$H$5:$H$132&lt;&gt;"")*('Assignment Calc'!$H$5:$H$132&lt;=AU$3)*('Assignment Calc'!$I$5:$I$132&gt;=AU$3)*'Assignment Calc'!$K$5:$K$132*'Assignment Calc'!$L$5:$L$132))</f>
        <v>0</v>
      </c>
      <c r="AV11" s="26" t="n">
        <f aca="false">IF(WEEKDAY(AV$3,2)&gt;5,0,SUMPRODUCT(('Assignment Calc'!$D$5:$D$132=$A11)*('Assignment Calc'!$H$5:$H$132&lt;&gt;"")*('Assignment Calc'!$H$5:$H$132&lt;=AV$3)*('Assignment Calc'!$I$5:$I$132&gt;=AV$3)*'Assignment Calc'!$K$5:$K$132*'Assignment Calc'!$L$5:$L$132))</f>
        <v>0</v>
      </c>
      <c r="AW11" s="26" t="n">
        <f aca="false">IF(WEEKDAY(AW$3,2)&gt;5,0,SUMPRODUCT(('Assignment Calc'!$D$5:$D$132=$A11)*('Assignment Calc'!$H$5:$H$132&lt;&gt;"")*('Assignment Calc'!$H$5:$H$132&lt;=AW$3)*('Assignment Calc'!$I$5:$I$132&gt;=AW$3)*'Assignment Calc'!$K$5:$K$132*'Assignment Calc'!$L$5:$L$132))</f>
        <v>3</v>
      </c>
      <c r="AX11" s="26" t="n">
        <f aca="false">IF(WEEKDAY(AX$3,2)&gt;5,0,SUMPRODUCT(('Assignment Calc'!$D$5:$D$132=$A11)*('Assignment Calc'!$H$5:$H$132&lt;&gt;"")*('Assignment Calc'!$H$5:$H$132&lt;=AX$3)*('Assignment Calc'!$I$5:$I$132&gt;=AX$3)*'Assignment Calc'!$K$5:$K$132*'Assignment Calc'!$L$5:$L$132))</f>
        <v>3</v>
      </c>
      <c r="AY11" s="26" t="n">
        <f aca="false">IF(WEEKDAY(AY$3,2)&gt;5,0,SUMPRODUCT(('Assignment Calc'!$D$5:$D$132=$A11)*('Assignment Calc'!$H$5:$H$132&lt;&gt;"")*('Assignment Calc'!$H$5:$H$132&lt;=AY$3)*('Assignment Calc'!$I$5:$I$132&gt;=AY$3)*'Assignment Calc'!$K$5:$K$132*'Assignment Calc'!$L$5:$L$132))</f>
        <v>3</v>
      </c>
      <c r="AZ11" s="26" t="n">
        <f aca="false">IF(WEEKDAY(AZ$3,2)&gt;5,0,SUMPRODUCT(('Assignment Calc'!$D$5:$D$132=$A11)*('Assignment Calc'!$H$5:$H$132&lt;&gt;"")*('Assignment Calc'!$H$5:$H$132&lt;=AZ$3)*('Assignment Calc'!$I$5:$I$132&gt;=AZ$3)*'Assignment Calc'!$K$5:$K$132*'Assignment Calc'!$L$5:$L$132))</f>
        <v>3</v>
      </c>
      <c r="BA11" s="26" t="n">
        <f aca="false">IF(WEEKDAY(BA$3,2)&gt;5,0,SUMPRODUCT(('Assignment Calc'!$D$5:$D$132=$A11)*('Assignment Calc'!$H$5:$H$132&lt;&gt;"")*('Assignment Calc'!$H$5:$H$132&lt;=BA$3)*('Assignment Calc'!$I$5:$I$132&gt;=BA$3)*'Assignment Calc'!$K$5:$K$132*'Assignment Calc'!$L$5:$L$132))</f>
        <v>3</v>
      </c>
      <c r="BB11" s="26" t="n">
        <f aca="false">IF(WEEKDAY(BB$3,2)&gt;5,0,SUMPRODUCT(('Assignment Calc'!$D$5:$D$132=$A11)*('Assignment Calc'!$H$5:$H$132&lt;&gt;"")*('Assignment Calc'!$H$5:$H$132&lt;=BB$3)*('Assignment Calc'!$I$5:$I$132&gt;=BB$3)*'Assignment Calc'!$K$5:$K$132*'Assignment Calc'!$L$5:$L$132))</f>
        <v>0</v>
      </c>
      <c r="BC11" s="26" t="n">
        <f aca="false">IF(WEEKDAY(BC$3,2)&gt;5,0,SUMPRODUCT(('Assignment Calc'!$D$5:$D$132=$A11)*('Assignment Calc'!$H$5:$H$132&lt;&gt;"")*('Assignment Calc'!$H$5:$H$132&lt;=BC$3)*('Assignment Calc'!$I$5:$I$132&gt;=BC$3)*'Assignment Calc'!$K$5:$K$132*'Assignment Calc'!$L$5:$L$132))</f>
        <v>0</v>
      </c>
      <c r="BD11" s="26" t="n">
        <f aca="false">IF(WEEKDAY(BD$3,2)&gt;5,0,SUMPRODUCT(('Assignment Calc'!$D$5:$D$132=$A11)*('Assignment Calc'!$H$5:$H$132&lt;&gt;"")*('Assignment Calc'!$H$5:$H$132&lt;=BD$3)*('Assignment Calc'!$I$5:$I$132&gt;=BD$3)*'Assignment Calc'!$K$5:$K$132*'Assignment Calc'!$L$5:$L$132))</f>
        <v>0</v>
      </c>
      <c r="BE11" s="26" t="n">
        <f aca="false">IF(WEEKDAY(BE$3,2)&gt;5,0,SUMPRODUCT(('Assignment Calc'!$D$5:$D$132=$A11)*('Assignment Calc'!$H$5:$H$132&lt;&gt;"")*('Assignment Calc'!$H$5:$H$132&lt;=BE$3)*('Assignment Calc'!$I$5:$I$132&gt;=BE$3)*'Assignment Calc'!$K$5:$K$132*'Assignment Calc'!$L$5:$L$132))</f>
        <v>0</v>
      </c>
      <c r="BF11" s="26" t="n">
        <f aca="false">IF(WEEKDAY(BF$3,2)&gt;5,0,SUMPRODUCT(('Assignment Calc'!$D$5:$D$132=$A11)*('Assignment Calc'!$H$5:$H$132&lt;&gt;"")*('Assignment Calc'!$H$5:$H$132&lt;=BF$3)*('Assignment Calc'!$I$5:$I$132&gt;=BF$3)*'Assignment Calc'!$K$5:$K$132*'Assignment Calc'!$L$5:$L$132))</f>
        <v>0</v>
      </c>
      <c r="BG11" s="26" t="n">
        <f aca="false">IF(WEEKDAY(BG$3,2)&gt;5,0,SUMPRODUCT(('Assignment Calc'!$D$5:$D$132=$A11)*('Assignment Calc'!$H$5:$H$132&lt;&gt;"")*('Assignment Calc'!$H$5:$H$132&lt;=BG$3)*('Assignment Calc'!$I$5:$I$132&gt;=BG$3)*'Assignment Calc'!$K$5:$K$132*'Assignment Calc'!$L$5:$L$132))</f>
        <v>0</v>
      </c>
      <c r="BH11" s="26" t="n">
        <f aca="false">IF(WEEKDAY(BH$3,2)&gt;5,0,SUMPRODUCT(('Assignment Calc'!$D$5:$D$132=$A11)*('Assignment Calc'!$H$5:$H$132&lt;&gt;"")*('Assignment Calc'!$H$5:$H$132&lt;=BH$3)*('Assignment Calc'!$I$5:$I$132&gt;=BH$3)*'Assignment Calc'!$K$5:$K$132*'Assignment Calc'!$L$5:$L$132))</f>
        <v>0</v>
      </c>
      <c r="BI11" s="26" t="n">
        <f aca="false">IF(WEEKDAY(BI$3,2)&gt;5,0,SUMPRODUCT(('Assignment Calc'!$D$5:$D$132=$A11)*('Assignment Calc'!$H$5:$H$132&lt;&gt;"")*('Assignment Calc'!$H$5:$H$132&lt;=BI$3)*('Assignment Calc'!$I$5:$I$132&gt;=BI$3)*'Assignment Calc'!$K$5:$K$132*'Assignment Calc'!$L$5:$L$132))</f>
        <v>0</v>
      </c>
      <c r="BJ11" s="26" t="n">
        <f aca="false">IF(WEEKDAY(BJ$3,2)&gt;5,0,SUMPRODUCT(('Assignment Calc'!$D$5:$D$132=$A11)*('Assignment Calc'!$H$5:$H$132&lt;&gt;"")*('Assignment Calc'!$H$5:$H$132&lt;=BJ$3)*('Assignment Calc'!$I$5:$I$132&gt;=BJ$3)*'Assignment Calc'!$K$5:$K$132*'Assignment Calc'!$L$5:$L$132))</f>
        <v>0</v>
      </c>
      <c r="BK11" s="26" t="n">
        <f aca="false">IF(WEEKDAY(BK$3,2)&gt;5,0,SUMPRODUCT(('Assignment Calc'!$D$5:$D$132=$A11)*('Assignment Calc'!$H$5:$H$132&lt;&gt;"")*('Assignment Calc'!$H$5:$H$132&lt;=BK$3)*('Assignment Calc'!$I$5:$I$132&gt;=BK$3)*'Assignment Calc'!$K$5:$K$132*'Assignment Calc'!$L$5:$L$132))</f>
        <v>9</v>
      </c>
      <c r="BL11" s="26" t="n">
        <f aca="false">IF(WEEKDAY(BL$3,2)&gt;5,0,SUMPRODUCT(('Assignment Calc'!$D$5:$D$132=$A11)*('Assignment Calc'!$H$5:$H$132&lt;&gt;"")*('Assignment Calc'!$H$5:$H$132&lt;=BL$3)*('Assignment Calc'!$I$5:$I$132&gt;=BL$3)*'Assignment Calc'!$K$5:$K$132*'Assignment Calc'!$L$5:$L$132))</f>
        <v>9</v>
      </c>
      <c r="BM11" s="26" t="n">
        <f aca="false">IF(WEEKDAY(BM$3,2)&gt;5,0,SUMPRODUCT(('Assignment Calc'!$D$5:$D$132=$A11)*('Assignment Calc'!$H$5:$H$132&lt;&gt;"")*('Assignment Calc'!$H$5:$H$132&lt;=BM$3)*('Assignment Calc'!$I$5:$I$132&gt;=BM$3)*'Assignment Calc'!$K$5:$K$132*'Assignment Calc'!$L$5:$L$132))</f>
        <v>9</v>
      </c>
      <c r="BN11" s="26" t="n">
        <f aca="false">IF(WEEKDAY(BN$3,2)&gt;5,0,SUMPRODUCT(('Assignment Calc'!$D$5:$D$132=$A11)*('Assignment Calc'!$H$5:$H$132&lt;&gt;"")*('Assignment Calc'!$H$5:$H$132&lt;=BN$3)*('Assignment Calc'!$I$5:$I$132&gt;=BN$3)*'Assignment Calc'!$K$5:$K$132*'Assignment Calc'!$L$5:$L$132))</f>
        <v>9</v>
      </c>
      <c r="BO11" s="26" t="n">
        <f aca="false">IF(WEEKDAY(BO$3,2)&gt;5,0,SUMPRODUCT(('Assignment Calc'!$D$5:$D$132=$A11)*('Assignment Calc'!$H$5:$H$132&lt;&gt;"")*('Assignment Calc'!$H$5:$H$132&lt;=BO$3)*('Assignment Calc'!$I$5:$I$132&gt;=BO$3)*'Assignment Calc'!$K$5:$K$132*'Assignment Calc'!$L$5:$L$132))</f>
        <v>9</v>
      </c>
      <c r="BP11" s="26" t="n">
        <f aca="false">IF(WEEKDAY(BP$3,2)&gt;5,0,SUMPRODUCT(('Assignment Calc'!$D$5:$D$132=$A11)*('Assignment Calc'!$H$5:$H$132&lt;&gt;"")*('Assignment Calc'!$H$5:$H$132&lt;=BP$3)*('Assignment Calc'!$I$5:$I$132&gt;=BP$3)*'Assignment Calc'!$K$5:$K$132*'Assignment Calc'!$L$5:$L$132))</f>
        <v>0</v>
      </c>
      <c r="BQ11" s="26" t="n">
        <f aca="false">IF(WEEKDAY(BQ$3,2)&gt;5,0,SUMPRODUCT(('Assignment Calc'!$D$5:$D$132=$A11)*('Assignment Calc'!$H$5:$H$132&lt;&gt;"")*('Assignment Calc'!$H$5:$H$132&lt;=BQ$3)*('Assignment Calc'!$I$5:$I$132&gt;=BQ$3)*'Assignment Calc'!$K$5:$K$132*'Assignment Calc'!$L$5:$L$132))</f>
        <v>0</v>
      </c>
      <c r="BR11" s="26" t="n">
        <f aca="false">IF(WEEKDAY(BR$3,2)&gt;5,0,SUMPRODUCT(('Assignment Calc'!$D$5:$D$132=$A11)*('Assignment Calc'!$H$5:$H$132&lt;&gt;"")*('Assignment Calc'!$H$5:$H$132&lt;=BR$3)*('Assignment Calc'!$I$5:$I$132&gt;=BR$3)*'Assignment Calc'!$K$5:$K$132*'Assignment Calc'!$L$5:$L$132))</f>
        <v>9</v>
      </c>
      <c r="BS11" s="26" t="n">
        <f aca="false">IF(WEEKDAY(BS$3,2)&gt;5,0,SUMPRODUCT(('Assignment Calc'!$D$5:$D$132=$A11)*('Assignment Calc'!$H$5:$H$132&lt;&gt;"")*('Assignment Calc'!$H$5:$H$132&lt;=BS$3)*('Assignment Calc'!$I$5:$I$132&gt;=BS$3)*'Assignment Calc'!$K$5:$K$132*'Assignment Calc'!$L$5:$L$132))</f>
        <v>9</v>
      </c>
      <c r="BT11" s="26" t="n">
        <f aca="false">IF(WEEKDAY(BT$3,2)&gt;5,0,SUMPRODUCT(('Assignment Calc'!$D$5:$D$132=$A11)*('Assignment Calc'!$H$5:$H$132&lt;&gt;"")*('Assignment Calc'!$H$5:$H$132&lt;=BT$3)*('Assignment Calc'!$I$5:$I$132&gt;=BT$3)*'Assignment Calc'!$K$5:$K$132*'Assignment Calc'!$L$5:$L$132))</f>
        <v>9</v>
      </c>
      <c r="BU11" s="26" t="n">
        <f aca="false">IF(WEEKDAY(BU$3,2)&gt;5,0,SUMPRODUCT(('Assignment Calc'!$D$5:$D$132=$A11)*('Assignment Calc'!$H$5:$H$132&lt;&gt;"")*('Assignment Calc'!$H$5:$H$132&lt;=BU$3)*('Assignment Calc'!$I$5:$I$132&gt;=BU$3)*'Assignment Calc'!$K$5:$K$132*'Assignment Calc'!$L$5:$L$132))</f>
        <v>9</v>
      </c>
      <c r="BV11" s="26" t="n">
        <f aca="false">IF(WEEKDAY(BV$3,2)&gt;5,0,SUMPRODUCT(('Assignment Calc'!$D$5:$D$132=$A11)*('Assignment Calc'!$H$5:$H$132&lt;&gt;"")*('Assignment Calc'!$H$5:$H$132&lt;=BV$3)*('Assignment Calc'!$I$5:$I$132&gt;=BV$3)*'Assignment Calc'!$K$5:$K$132*'Assignment Calc'!$L$5:$L$132))</f>
        <v>9</v>
      </c>
      <c r="BW11" s="26" t="n">
        <f aca="false">IF(WEEKDAY(BW$3,2)&gt;5,0,SUMPRODUCT(('Assignment Calc'!$D$5:$D$132=$A11)*('Assignment Calc'!$H$5:$H$132&lt;&gt;"")*('Assignment Calc'!$H$5:$H$132&lt;=BW$3)*('Assignment Calc'!$I$5:$I$132&gt;=BW$3)*'Assignment Calc'!$K$5:$K$132*'Assignment Calc'!$L$5:$L$132))</f>
        <v>0</v>
      </c>
      <c r="BX11" s="26" t="n">
        <f aca="false">IF(WEEKDAY(BX$3,2)&gt;5,0,SUMPRODUCT(('Assignment Calc'!$D$5:$D$132=$A11)*('Assignment Calc'!$H$5:$H$132&lt;&gt;"")*('Assignment Calc'!$H$5:$H$132&lt;=BX$3)*('Assignment Calc'!$I$5:$I$132&gt;=BX$3)*'Assignment Calc'!$K$5:$K$132*'Assignment Calc'!$L$5:$L$132))</f>
        <v>0</v>
      </c>
      <c r="BY11" s="26" t="n">
        <f aca="false">IF(WEEKDAY(BY$3,2)&gt;5,0,SUMPRODUCT(('Assignment Calc'!$D$5:$D$132=$A11)*('Assignment Calc'!$H$5:$H$132&lt;&gt;"")*('Assignment Calc'!$H$5:$H$132&lt;=BY$3)*('Assignment Calc'!$I$5:$I$132&gt;=BY$3)*'Assignment Calc'!$K$5:$K$132*'Assignment Calc'!$L$5:$L$132))</f>
        <v>2.25</v>
      </c>
      <c r="BZ11" s="26" t="n">
        <f aca="false">IF(WEEKDAY(BZ$3,2)&gt;5,0,SUMPRODUCT(('Assignment Calc'!$D$5:$D$132=$A11)*('Assignment Calc'!$H$5:$H$132&lt;&gt;"")*('Assignment Calc'!$H$5:$H$132&lt;=BZ$3)*('Assignment Calc'!$I$5:$I$132&gt;=BZ$3)*'Assignment Calc'!$K$5:$K$132*'Assignment Calc'!$L$5:$L$132))</f>
        <v>2.25</v>
      </c>
      <c r="CA11" s="26" t="n">
        <f aca="false">IF(WEEKDAY(CA$3,2)&gt;5,0,SUMPRODUCT(('Assignment Calc'!$D$5:$D$132=$A11)*('Assignment Calc'!$H$5:$H$132&lt;&gt;"")*('Assignment Calc'!$H$5:$H$132&lt;=CA$3)*('Assignment Calc'!$I$5:$I$132&gt;=CA$3)*'Assignment Calc'!$K$5:$K$132*'Assignment Calc'!$L$5:$L$132))</f>
        <v>2.25</v>
      </c>
      <c r="CB11" s="26" t="n">
        <f aca="false">IF(WEEKDAY(CB$3,2)&gt;5,0,SUMPRODUCT(('Assignment Calc'!$D$5:$D$132=$A11)*('Assignment Calc'!$H$5:$H$132&lt;&gt;"")*('Assignment Calc'!$H$5:$H$132&lt;=CB$3)*('Assignment Calc'!$I$5:$I$132&gt;=CB$3)*'Assignment Calc'!$K$5:$K$132*'Assignment Calc'!$L$5:$L$132))</f>
        <v>2.25</v>
      </c>
      <c r="CC11" s="26" t="n">
        <f aca="false">IF(WEEKDAY(CC$3,2)&gt;5,0,SUMPRODUCT(('Assignment Calc'!$D$5:$D$132=$A11)*('Assignment Calc'!$H$5:$H$132&lt;&gt;"")*('Assignment Calc'!$H$5:$H$132&lt;=CC$3)*('Assignment Calc'!$I$5:$I$132&gt;=CC$3)*'Assignment Calc'!$K$5:$K$132*'Assignment Calc'!$L$5:$L$132))</f>
        <v>2.25</v>
      </c>
      <c r="CD11" s="26" t="n">
        <f aca="false">IF(WEEKDAY(CD$3,2)&gt;5,0,SUMPRODUCT(('Assignment Calc'!$D$5:$D$132=$A11)*('Assignment Calc'!$H$5:$H$132&lt;&gt;"")*('Assignment Calc'!$H$5:$H$132&lt;=CD$3)*('Assignment Calc'!$I$5:$I$132&gt;=CD$3)*'Assignment Calc'!$K$5:$K$132*'Assignment Calc'!$L$5:$L$132))</f>
        <v>0</v>
      </c>
      <c r="CE11" s="26" t="n">
        <f aca="false">IF(WEEKDAY(CE$3,2)&gt;5,0,SUMPRODUCT(('Assignment Calc'!$D$5:$D$132=$A11)*('Assignment Calc'!$H$5:$H$132&lt;&gt;"")*('Assignment Calc'!$H$5:$H$132&lt;=CE$3)*('Assignment Calc'!$I$5:$I$132&gt;=CE$3)*'Assignment Calc'!$K$5:$K$132*'Assignment Calc'!$L$5:$L$132))</f>
        <v>0</v>
      </c>
      <c r="CF11" s="26" t="n">
        <f aca="false">IF(WEEKDAY(CF$3,2)&gt;5,0,SUMPRODUCT(('Assignment Calc'!$D$5:$D$132=$A11)*('Assignment Calc'!$H$5:$H$132&lt;&gt;"")*('Assignment Calc'!$H$5:$H$132&lt;=CF$3)*('Assignment Calc'!$I$5:$I$132&gt;=CF$3)*'Assignment Calc'!$K$5:$K$132*'Assignment Calc'!$L$5:$L$132))</f>
        <v>0</v>
      </c>
      <c r="CG11" s="26" t="n">
        <f aca="false">IF(WEEKDAY(CG$3,2)&gt;5,0,SUMPRODUCT(('Assignment Calc'!$D$5:$D$132=$A11)*('Assignment Calc'!$H$5:$H$132&lt;&gt;"")*('Assignment Calc'!$H$5:$H$132&lt;=CG$3)*('Assignment Calc'!$I$5:$I$132&gt;=CG$3)*'Assignment Calc'!$K$5:$K$132*'Assignment Calc'!$L$5:$L$132))</f>
        <v>0</v>
      </c>
      <c r="CH11" s="26" t="n">
        <f aca="false">IF(WEEKDAY(CH$3,2)&gt;5,0,SUMPRODUCT(('Assignment Calc'!$D$5:$D$132=$A11)*('Assignment Calc'!$H$5:$H$132&lt;&gt;"")*('Assignment Calc'!$H$5:$H$132&lt;=CH$3)*('Assignment Calc'!$I$5:$I$132&gt;=CH$3)*'Assignment Calc'!$K$5:$K$132*'Assignment Calc'!$L$5:$L$132))</f>
        <v>0</v>
      </c>
      <c r="CI11" s="26" t="n">
        <f aca="false">IF(WEEKDAY(CI$3,2)&gt;5,0,SUMPRODUCT(('Assignment Calc'!$D$5:$D$132=$A11)*('Assignment Calc'!$H$5:$H$132&lt;&gt;"")*('Assignment Calc'!$H$5:$H$132&lt;=CI$3)*('Assignment Calc'!$I$5:$I$132&gt;=CI$3)*'Assignment Calc'!$K$5:$K$132*'Assignment Calc'!$L$5:$L$132))</f>
        <v>0</v>
      </c>
      <c r="CJ11" s="26" t="n">
        <f aca="false">IF(WEEKDAY(CJ$3,2)&gt;5,0,SUMPRODUCT(('Assignment Calc'!$D$5:$D$132=$A11)*('Assignment Calc'!$H$5:$H$132&lt;&gt;"")*('Assignment Calc'!$H$5:$H$132&lt;=CJ$3)*('Assignment Calc'!$I$5:$I$132&gt;=CJ$3)*'Assignment Calc'!$K$5:$K$132*'Assignment Calc'!$L$5:$L$132))</f>
        <v>0</v>
      </c>
      <c r="CK11" s="26" t="n">
        <f aca="false">IF(WEEKDAY(CK$3,2)&gt;5,0,SUMPRODUCT(('Assignment Calc'!$D$5:$D$132=$A11)*('Assignment Calc'!$H$5:$H$132&lt;&gt;"")*('Assignment Calc'!$H$5:$H$132&lt;=CK$3)*('Assignment Calc'!$I$5:$I$132&gt;=CK$3)*'Assignment Calc'!$K$5:$K$132*'Assignment Calc'!$L$5:$L$132))</f>
        <v>0</v>
      </c>
      <c r="CL11" s="26" t="n">
        <f aca="false">IF(WEEKDAY(CL$3,2)&gt;5,0,SUMPRODUCT(('Assignment Calc'!$D$5:$D$132=$A11)*('Assignment Calc'!$H$5:$H$132&lt;&gt;"")*('Assignment Calc'!$H$5:$H$132&lt;=CL$3)*('Assignment Calc'!$I$5:$I$132&gt;=CL$3)*'Assignment Calc'!$K$5:$K$132*'Assignment Calc'!$L$5:$L$132))</f>
        <v>0</v>
      </c>
      <c r="CM11" s="26" t="n">
        <f aca="false">IF(WEEKDAY(CM$3,2)&gt;5,0,SUMPRODUCT(('Assignment Calc'!$D$5:$D$132=$A11)*('Assignment Calc'!$H$5:$H$132&lt;&gt;"")*('Assignment Calc'!$H$5:$H$132&lt;=CM$3)*('Assignment Calc'!$I$5:$I$132&gt;=CM$3)*'Assignment Calc'!$K$5:$K$132*'Assignment Calc'!$L$5:$L$132))</f>
        <v>13.5</v>
      </c>
      <c r="CN11" s="26" t="n">
        <f aca="false">IF(WEEKDAY(CN$3,2)&gt;5,0,SUMPRODUCT(('Assignment Calc'!$D$5:$D$132=$A11)*('Assignment Calc'!$H$5:$H$132&lt;&gt;"")*('Assignment Calc'!$H$5:$H$132&lt;=CN$3)*('Assignment Calc'!$I$5:$I$132&gt;=CN$3)*'Assignment Calc'!$K$5:$K$132*'Assignment Calc'!$L$5:$L$132))</f>
        <v>13.5</v>
      </c>
      <c r="CO11" s="26" t="n">
        <f aca="false">IF(WEEKDAY(CO$3,2)&gt;5,0,SUMPRODUCT(('Assignment Calc'!$D$5:$D$132=$A11)*('Assignment Calc'!$H$5:$H$132&lt;&gt;"")*('Assignment Calc'!$H$5:$H$132&lt;=CO$3)*('Assignment Calc'!$I$5:$I$132&gt;=CO$3)*'Assignment Calc'!$K$5:$K$132*'Assignment Calc'!$L$5:$L$132))</f>
        <v>13.5</v>
      </c>
      <c r="CP11" s="26" t="n">
        <f aca="false">IF(WEEKDAY(CP$3,2)&gt;5,0,SUMPRODUCT(('Assignment Calc'!$D$5:$D$132=$A11)*('Assignment Calc'!$H$5:$H$132&lt;&gt;"")*('Assignment Calc'!$H$5:$H$132&lt;=CP$3)*('Assignment Calc'!$I$5:$I$132&gt;=CP$3)*'Assignment Calc'!$K$5:$K$132*'Assignment Calc'!$L$5:$L$132))</f>
        <v>13.5</v>
      </c>
    </row>
    <row r="12" customFormat="false" ht="15" hidden="false" customHeight="true" outlineLevel="0" collapsed="false">
      <c r="A12" s="2" t="s">
        <v>502</v>
      </c>
      <c r="B12" s="23" t="n">
        <f aca="false">SUM(C12:CP12)</f>
        <v>20</v>
      </c>
      <c r="C12" s="26" t="n">
        <f aca="false">IF(WEEKDAY(C$3,2)&gt;5,0,SUMPRODUCT(('Assignment Calc'!$D$5:$D$132=$A12)*('Assignment Calc'!$H$5:$H$132&lt;&gt;"")*('Assignment Calc'!$H$5:$H$132&lt;=C$3)*('Assignment Calc'!$I$5:$I$132&gt;=C$3)*'Assignment Calc'!$K$5:$K$132*'Assignment Calc'!$L$5:$L$132))</f>
        <v>0</v>
      </c>
      <c r="D12" s="26" t="n">
        <f aca="false">IF(WEEKDAY(D$3,2)&gt;5,0,SUMPRODUCT(('Assignment Calc'!$D$5:$D$132=$A12)*('Assignment Calc'!$H$5:$H$132&lt;&gt;"")*('Assignment Calc'!$H$5:$H$132&lt;=D$3)*('Assignment Calc'!$I$5:$I$132&gt;=D$3)*'Assignment Calc'!$K$5:$K$132*'Assignment Calc'!$L$5:$L$132))</f>
        <v>0</v>
      </c>
      <c r="E12" s="26" t="n">
        <f aca="false">IF(WEEKDAY(E$3,2)&gt;5,0,SUMPRODUCT(('Assignment Calc'!$D$5:$D$132=$A12)*('Assignment Calc'!$H$5:$H$132&lt;&gt;"")*('Assignment Calc'!$H$5:$H$132&lt;=E$3)*('Assignment Calc'!$I$5:$I$132&gt;=E$3)*'Assignment Calc'!$K$5:$K$132*'Assignment Calc'!$L$5:$L$132))</f>
        <v>0</v>
      </c>
      <c r="F12" s="26" t="n">
        <f aca="false">IF(WEEKDAY(F$3,2)&gt;5,0,SUMPRODUCT(('Assignment Calc'!$D$5:$D$132=$A12)*('Assignment Calc'!$H$5:$H$132&lt;&gt;"")*('Assignment Calc'!$H$5:$H$132&lt;=F$3)*('Assignment Calc'!$I$5:$I$132&gt;=F$3)*'Assignment Calc'!$K$5:$K$132*'Assignment Calc'!$L$5:$L$132))</f>
        <v>0</v>
      </c>
      <c r="G12" s="26" t="n">
        <f aca="false">IF(WEEKDAY(G$3,2)&gt;5,0,SUMPRODUCT(('Assignment Calc'!$D$5:$D$132=$A12)*('Assignment Calc'!$H$5:$H$132&lt;&gt;"")*('Assignment Calc'!$H$5:$H$132&lt;=G$3)*('Assignment Calc'!$I$5:$I$132&gt;=G$3)*'Assignment Calc'!$K$5:$K$132*'Assignment Calc'!$L$5:$L$132))</f>
        <v>4</v>
      </c>
      <c r="H12" s="26" t="n">
        <f aca="false">IF(WEEKDAY(H$3,2)&gt;5,0,SUMPRODUCT(('Assignment Calc'!$D$5:$D$132=$A12)*('Assignment Calc'!$H$5:$H$132&lt;&gt;"")*('Assignment Calc'!$H$5:$H$132&lt;=H$3)*('Assignment Calc'!$I$5:$I$132&gt;=H$3)*'Assignment Calc'!$K$5:$K$132*'Assignment Calc'!$L$5:$L$132))</f>
        <v>4</v>
      </c>
      <c r="I12" s="26" t="n">
        <f aca="false">IF(WEEKDAY(I$3,2)&gt;5,0,SUMPRODUCT(('Assignment Calc'!$D$5:$D$132=$A12)*('Assignment Calc'!$H$5:$H$132&lt;&gt;"")*('Assignment Calc'!$H$5:$H$132&lt;=I$3)*('Assignment Calc'!$I$5:$I$132&gt;=I$3)*'Assignment Calc'!$K$5:$K$132*'Assignment Calc'!$L$5:$L$132))</f>
        <v>4</v>
      </c>
      <c r="J12" s="26" t="n">
        <f aca="false">IF(WEEKDAY(J$3,2)&gt;5,0,SUMPRODUCT(('Assignment Calc'!$D$5:$D$132=$A12)*('Assignment Calc'!$H$5:$H$132&lt;&gt;"")*('Assignment Calc'!$H$5:$H$132&lt;=J$3)*('Assignment Calc'!$I$5:$I$132&gt;=J$3)*'Assignment Calc'!$K$5:$K$132*'Assignment Calc'!$L$5:$L$132))</f>
        <v>4</v>
      </c>
      <c r="K12" s="26" t="n">
        <f aca="false">IF(WEEKDAY(K$3,2)&gt;5,0,SUMPRODUCT(('Assignment Calc'!$D$5:$D$132=$A12)*('Assignment Calc'!$H$5:$H$132&lt;&gt;"")*('Assignment Calc'!$H$5:$H$132&lt;=K$3)*('Assignment Calc'!$I$5:$I$132&gt;=K$3)*'Assignment Calc'!$K$5:$K$132*'Assignment Calc'!$L$5:$L$132))</f>
        <v>4</v>
      </c>
      <c r="L12" s="26" t="n">
        <f aca="false">IF(WEEKDAY(L$3,2)&gt;5,0,SUMPRODUCT(('Assignment Calc'!$D$5:$D$132=$A12)*('Assignment Calc'!$H$5:$H$132&lt;&gt;"")*('Assignment Calc'!$H$5:$H$132&lt;=L$3)*('Assignment Calc'!$I$5:$I$132&gt;=L$3)*'Assignment Calc'!$K$5:$K$132*'Assignment Calc'!$L$5:$L$132))</f>
        <v>0</v>
      </c>
      <c r="M12" s="26" t="n">
        <f aca="false">IF(WEEKDAY(M$3,2)&gt;5,0,SUMPRODUCT(('Assignment Calc'!$D$5:$D$132=$A12)*('Assignment Calc'!$H$5:$H$132&lt;&gt;"")*('Assignment Calc'!$H$5:$H$132&lt;=M$3)*('Assignment Calc'!$I$5:$I$132&gt;=M$3)*'Assignment Calc'!$K$5:$K$132*'Assignment Calc'!$L$5:$L$132))</f>
        <v>0</v>
      </c>
      <c r="N12" s="26" t="n">
        <f aca="false">IF(WEEKDAY(N$3,2)&gt;5,0,SUMPRODUCT(('Assignment Calc'!$D$5:$D$132=$A12)*('Assignment Calc'!$H$5:$H$132&lt;&gt;"")*('Assignment Calc'!$H$5:$H$132&lt;=N$3)*('Assignment Calc'!$I$5:$I$132&gt;=N$3)*'Assignment Calc'!$K$5:$K$132*'Assignment Calc'!$L$5:$L$132))</f>
        <v>0</v>
      </c>
      <c r="O12" s="26" t="n">
        <f aca="false">IF(WEEKDAY(O$3,2)&gt;5,0,SUMPRODUCT(('Assignment Calc'!$D$5:$D$132=$A12)*('Assignment Calc'!$H$5:$H$132&lt;&gt;"")*('Assignment Calc'!$H$5:$H$132&lt;=O$3)*('Assignment Calc'!$I$5:$I$132&gt;=O$3)*'Assignment Calc'!$K$5:$K$132*'Assignment Calc'!$L$5:$L$132))</f>
        <v>0</v>
      </c>
      <c r="P12" s="26" t="n">
        <f aca="false">IF(WEEKDAY(P$3,2)&gt;5,0,SUMPRODUCT(('Assignment Calc'!$D$5:$D$132=$A12)*('Assignment Calc'!$H$5:$H$132&lt;&gt;"")*('Assignment Calc'!$H$5:$H$132&lt;=P$3)*('Assignment Calc'!$I$5:$I$132&gt;=P$3)*'Assignment Calc'!$K$5:$K$132*'Assignment Calc'!$L$5:$L$132))</f>
        <v>0</v>
      </c>
      <c r="Q12" s="26" t="n">
        <f aca="false">IF(WEEKDAY(Q$3,2)&gt;5,0,SUMPRODUCT(('Assignment Calc'!$D$5:$D$132=$A12)*('Assignment Calc'!$H$5:$H$132&lt;&gt;"")*('Assignment Calc'!$H$5:$H$132&lt;=Q$3)*('Assignment Calc'!$I$5:$I$132&gt;=Q$3)*'Assignment Calc'!$K$5:$K$132*'Assignment Calc'!$L$5:$L$132))</f>
        <v>0</v>
      </c>
      <c r="R12" s="26" t="n">
        <f aca="false">IF(WEEKDAY(R$3,2)&gt;5,0,SUMPRODUCT(('Assignment Calc'!$D$5:$D$132=$A12)*('Assignment Calc'!$H$5:$H$132&lt;&gt;"")*('Assignment Calc'!$H$5:$H$132&lt;=R$3)*('Assignment Calc'!$I$5:$I$132&gt;=R$3)*'Assignment Calc'!$K$5:$K$132*'Assignment Calc'!$L$5:$L$132))</f>
        <v>0</v>
      </c>
      <c r="S12" s="26" t="n">
        <f aca="false">IF(WEEKDAY(S$3,2)&gt;5,0,SUMPRODUCT(('Assignment Calc'!$D$5:$D$132=$A12)*('Assignment Calc'!$H$5:$H$132&lt;&gt;"")*('Assignment Calc'!$H$5:$H$132&lt;=S$3)*('Assignment Calc'!$I$5:$I$132&gt;=S$3)*'Assignment Calc'!$K$5:$K$132*'Assignment Calc'!$L$5:$L$132))</f>
        <v>0</v>
      </c>
      <c r="T12" s="26" t="n">
        <f aca="false">IF(WEEKDAY(T$3,2)&gt;5,0,SUMPRODUCT(('Assignment Calc'!$D$5:$D$132=$A12)*('Assignment Calc'!$H$5:$H$132&lt;&gt;"")*('Assignment Calc'!$H$5:$H$132&lt;=T$3)*('Assignment Calc'!$I$5:$I$132&gt;=T$3)*'Assignment Calc'!$K$5:$K$132*'Assignment Calc'!$L$5:$L$132))</f>
        <v>0</v>
      </c>
      <c r="U12" s="26" t="n">
        <f aca="false">IF(WEEKDAY(U$3,2)&gt;5,0,SUMPRODUCT(('Assignment Calc'!$D$5:$D$132=$A12)*('Assignment Calc'!$H$5:$H$132&lt;&gt;"")*('Assignment Calc'!$H$5:$H$132&lt;=U$3)*('Assignment Calc'!$I$5:$I$132&gt;=U$3)*'Assignment Calc'!$K$5:$K$132*'Assignment Calc'!$L$5:$L$132))</f>
        <v>0</v>
      </c>
      <c r="V12" s="26" t="n">
        <f aca="false">IF(WEEKDAY(V$3,2)&gt;5,0,SUMPRODUCT(('Assignment Calc'!$D$5:$D$132=$A12)*('Assignment Calc'!$H$5:$H$132&lt;&gt;"")*('Assignment Calc'!$H$5:$H$132&lt;=V$3)*('Assignment Calc'!$I$5:$I$132&gt;=V$3)*'Assignment Calc'!$K$5:$K$132*'Assignment Calc'!$L$5:$L$132))</f>
        <v>0</v>
      </c>
      <c r="W12" s="26" t="n">
        <f aca="false">IF(WEEKDAY(W$3,2)&gt;5,0,SUMPRODUCT(('Assignment Calc'!$D$5:$D$132=$A12)*('Assignment Calc'!$H$5:$H$132&lt;&gt;"")*('Assignment Calc'!$H$5:$H$132&lt;=W$3)*('Assignment Calc'!$I$5:$I$132&gt;=W$3)*'Assignment Calc'!$K$5:$K$132*'Assignment Calc'!$L$5:$L$132))</f>
        <v>0</v>
      </c>
      <c r="X12" s="26" t="n">
        <f aca="false">IF(WEEKDAY(X$3,2)&gt;5,0,SUMPRODUCT(('Assignment Calc'!$D$5:$D$132=$A12)*('Assignment Calc'!$H$5:$H$132&lt;&gt;"")*('Assignment Calc'!$H$5:$H$132&lt;=X$3)*('Assignment Calc'!$I$5:$I$132&gt;=X$3)*'Assignment Calc'!$K$5:$K$132*'Assignment Calc'!$L$5:$L$132))</f>
        <v>0</v>
      </c>
      <c r="Y12" s="26" t="n">
        <f aca="false">IF(WEEKDAY(Y$3,2)&gt;5,0,SUMPRODUCT(('Assignment Calc'!$D$5:$D$132=$A12)*('Assignment Calc'!$H$5:$H$132&lt;&gt;"")*('Assignment Calc'!$H$5:$H$132&lt;=Y$3)*('Assignment Calc'!$I$5:$I$132&gt;=Y$3)*'Assignment Calc'!$K$5:$K$132*'Assignment Calc'!$L$5:$L$132))</f>
        <v>0</v>
      </c>
      <c r="Z12" s="26" t="n">
        <f aca="false">IF(WEEKDAY(Z$3,2)&gt;5,0,SUMPRODUCT(('Assignment Calc'!$D$5:$D$132=$A12)*('Assignment Calc'!$H$5:$H$132&lt;&gt;"")*('Assignment Calc'!$H$5:$H$132&lt;=Z$3)*('Assignment Calc'!$I$5:$I$132&gt;=Z$3)*'Assignment Calc'!$K$5:$K$132*'Assignment Calc'!$L$5:$L$132))</f>
        <v>0</v>
      </c>
      <c r="AA12" s="26" t="n">
        <f aca="false">IF(WEEKDAY(AA$3,2)&gt;5,0,SUMPRODUCT(('Assignment Calc'!$D$5:$D$132=$A12)*('Assignment Calc'!$H$5:$H$132&lt;&gt;"")*('Assignment Calc'!$H$5:$H$132&lt;=AA$3)*('Assignment Calc'!$I$5:$I$132&gt;=AA$3)*'Assignment Calc'!$K$5:$K$132*'Assignment Calc'!$L$5:$L$132))</f>
        <v>0</v>
      </c>
      <c r="AB12" s="26" t="n">
        <f aca="false">IF(WEEKDAY(AB$3,2)&gt;5,0,SUMPRODUCT(('Assignment Calc'!$D$5:$D$132=$A12)*('Assignment Calc'!$H$5:$H$132&lt;&gt;"")*('Assignment Calc'!$H$5:$H$132&lt;=AB$3)*('Assignment Calc'!$I$5:$I$132&gt;=AB$3)*'Assignment Calc'!$K$5:$K$132*'Assignment Calc'!$L$5:$L$132))</f>
        <v>0</v>
      </c>
      <c r="AC12" s="26" t="n">
        <f aca="false">IF(WEEKDAY(AC$3,2)&gt;5,0,SUMPRODUCT(('Assignment Calc'!$D$5:$D$132=$A12)*('Assignment Calc'!$H$5:$H$132&lt;&gt;"")*('Assignment Calc'!$H$5:$H$132&lt;=AC$3)*('Assignment Calc'!$I$5:$I$132&gt;=AC$3)*'Assignment Calc'!$K$5:$K$132*'Assignment Calc'!$L$5:$L$132))</f>
        <v>0</v>
      </c>
      <c r="AD12" s="26" t="n">
        <f aca="false">IF(WEEKDAY(AD$3,2)&gt;5,0,SUMPRODUCT(('Assignment Calc'!$D$5:$D$132=$A12)*('Assignment Calc'!$H$5:$H$132&lt;&gt;"")*('Assignment Calc'!$H$5:$H$132&lt;=AD$3)*('Assignment Calc'!$I$5:$I$132&gt;=AD$3)*'Assignment Calc'!$K$5:$K$132*'Assignment Calc'!$L$5:$L$132))</f>
        <v>0</v>
      </c>
      <c r="AE12" s="26" t="n">
        <f aca="false">IF(WEEKDAY(AE$3,2)&gt;5,0,SUMPRODUCT(('Assignment Calc'!$D$5:$D$132=$A12)*('Assignment Calc'!$H$5:$H$132&lt;&gt;"")*('Assignment Calc'!$H$5:$H$132&lt;=AE$3)*('Assignment Calc'!$I$5:$I$132&gt;=AE$3)*'Assignment Calc'!$K$5:$K$132*'Assignment Calc'!$L$5:$L$132))</f>
        <v>0</v>
      </c>
      <c r="AF12" s="26" t="n">
        <f aca="false">IF(WEEKDAY(AF$3,2)&gt;5,0,SUMPRODUCT(('Assignment Calc'!$D$5:$D$132=$A12)*('Assignment Calc'!$H$5:$H$132&lt;&gt;"")*('Assignment Calc'!$H$5:$H$132&lt;=AF$3)*('Assignment Calc'!$I$5:$I$132&gt;=AF$3)*'Assignment Calc'!$K$5:$K$132*'Assignment Calc'!$L$5:$L$132))</f>
        <v>0</v>
      </c>
      <c r="AG12" s="26" t="n">
        <f aca="false">IF(WEEKDAY(AG$3,2)&gt;5,0,SUMPRODUCT(('Assignment Calc'!$D$5:$D$132=$A12)*('Assignment Calc'!$H$5:$H$132&lt;&gt;"")*('Assignment Calc'!$H$5:$H$132&lt;=AG$3)*('Assignment Calc'!$I$5:$I$132&gt;=AG$3)*'Assignment Calc'!$K$5:$K$132*'Assignment Calc'!$L$5:$L$132))</f>
        <v>0</v>
      </c>
      <c r="AH12" s="26" t="n">
        <f aca="false">IF(WEEKDAY(AH$3,2)&gt;5,0,SUMPRODUCT(('Assignment Calc'!$D$5:$D$132=$A12)*('Assignment Calc'!$H$5:$H$132&lt;&gt;"")*('Assignment Calc'!$H$5:$H$132&lt;=AH$3)*('Assignment Calc'!$I$5:$I$132&gt;=AH$3)*'Assignment Calc'!$K$5:$K$132*'Assignment Calc'!$L$5:$L$132))</f>
        <v>0</v>
      </c>
      <c r="AI12" s="26" t="n">
        <f aca="false">IF(WEEKDAY(AI$3,2)&gt;5,0,SUMPRODUCT(('Assignment Calc'!$D$5:$D$132=$A12)*('Assignment Calc'!$H$5:$H$132&lt;&gt;"")*('Assignment Calc'!$H$5:$H$132&lt;=AI$3)*('Assignment Calc'!$I$5:$I$132&gt;=AI$3)*'Assignment Calc'!$K$5:$K$132*'Assignment Calc'!$L$5:$L$132))</f>
        <v>0</v>
      </c>
      <c r="AJ12" s="26" t="n">
        <f aca="false">IF(WEEKDAY(AJ$3,2)&gt;5,0,SUMPRODUCT(('Assignment Calc'!$D$5:$D$132=$A12)*('Assignment Calc'!$H$5:$H$132&lt;&gt;"")*('Assignment Calc'!$H$5:$H$132&lt;=AJ$3)*('Assignment Calc'!$I$5:$I$132&gt;=AJ$3)*'Assignment Calc'!$K$5:$K$132*'Assignment Calc'!$L$5:$L$132))</f>
        <v>0</v>
      </c>
      <c r="AK12" s="26" t="n">
        <f aca="false">IF(WEEKDAY(AK$3,2)&gt;5,0,SUMPRODUCT(('Assignment Calc'!$D$5:$D$132=$A12)*('Assignment Calc'!$H$5:$H$132&lt;&gt;"")*('Assignment Calc'!$H$5:$H$132&lt;=AK$3)*('Assignment Calc'!$I$5:$I$132&gt;=AK$3)*'Assignment Calc'!$K$5:$K$132*'Assignment Calc'!$L$5:$L$132))</f>
        <v>0</v>
      </c>
      <c r="AL12" s="26" t="n">
        <f aca="false">IF(WEEKDAY(AL$3,2)&gt;5,0,SUMPRODUCT(('Assignment Calc'!$D$5:$D$132=$A12)*('Assignment Calc'!$H$5:$H$132&lt;&gt;"")*('Assignment Calc'!$H$5:$H$132&lt;=AL$3)*('Assignment Calc'!$I$5:$I$132&gt;=AL$3)*'Assignment Calc'!$K$5:$K$132*'Assignment Calc'!$L$5:$L$132))</f>
        <v>0</v>
      </c>
      <c r="AM12" s="26" t="n">
        <f aca="false">IF(WEEKDAY(AM$3,2)&gt;5,0,SUMPRODUCT(('Assignment Calc'!$D$5:$D$132=$A12)*('Assignment Calc'!$H$5:$H$132&lt;&gt;"")*('Assignment Calc'!$H$5:$H$132&lt;=AM$3)*('Assignment Calc'!$I$5:$I$132&gt;=AM$3)*'Assignment Calc'!$K$5:$K$132*'Assignment Calc'!$L$5:$L$132))</f>
        <v>0</v>
      </c>
      <c r="AN12" s="26" t="n">
        <f aca="false">IF(WEEKDAY(AN$3,2)&gt;5,0,SUMPRODUCT(('Assignment Calc'!$D$5:$D$132=$A12)*('Assignment Calc'!$H$5:$H$132&lt;&gt;"")*('Assignment Calc'!$H$5:$H$132&lt;=AN$3)*('Assignment Calc'!$I$5:$I$132&gt;=AN$3)*'Assignment Calc'!$K$5:$K$132*'Assignment Calc'!$L$5:$L$132))</f>
        <v>0</v>
      </c>
      <c r="AO12" s="26" t="n">
        <f aca="false">IF(WEEKDAY(AO$3,2)&gt;5,0,SUMPRODUCT(('Assignment Calc'!$D$5:$D$132=$A12)*('Assignment Calc'!$H$5:$H$132&lt;&gt;"")*('Assignment Calc'!$H$5:$H$132&lt;=AO$3)*('Assignment Calc'!$I$5:$I$132&gt;=AO$3)*'Assignment Calc'!$K$5:$K$132*'Assignment Calc'!$L$5:$L$132))</f>
        <v>0</v>
      </c>
      <c r="AP12" s="26" t="n">
        <f aca="false">IF(WEEKDAY(AP$3,2)&gt;5,0,SUMPRODUCT(('Assignment Calc'!$D$5:$D$132=$A12)*('Assignment Calc'!$H$5:$H$132&lt;&gt;"")*('Assignment Calc'!$H$5:$H$132&lt;=AP$3)*('Assignment Calc'!$I$5:$I$132&gt;=AP$3)*'Assignment Calc'!$K$5:$K$132*'Assignment Calc'!$L$5:$L$132))</f>
        <v>0</v>
      </c>
      <c r="AQ12" s="26" t="n">
        <f aca="false">IF(WEEKDAY(AQ$3,2)&gt;5,0,SUMPRODUCT(('Assignment Calc'!$D$5:$D$132=$A12)*('Assignment Calc'!$H$5:$H$132&lt;&gt;"")*('Assignment Calc'!$H$5:$H$132&lt;=AQ$3)*('Assignment Calc'!$I$5:$I$132&gt;=AQ$3)*'Assignment Calc'!$K$5:$K$132*'Assignment Calc'!$L$5:$L$132))</f>
        <v>0</v>
      </c>
      <c r="AR12" s="26" t="n">
        <f aca="false">IF(WEEKDAY(AR$3,2)&gt;5,0,SUMPRODUCT(('Assignment Calc'!$D$5:$D$132=$A12)*('Assignment Calc'!$H$5:$H$132&lt;&gt;"")*('Assignment Calc'!$H$5:$H$132&lt;=AR$3)*('Assignment Calc'!$I$5:$I$132&gt;=AR$3)*'Assignment Calc'!$K$5:$K$132*'Assignment Calc'!$L$5:$L$132))</f>
        <v>0</v>
      </c>
      <c r="AS12" s="26" t="n">
        <f aca="false">IF(WEEKDAY(AS$3,2)&gt;5,0,SUMPRODUCT(('Assignment Calc'!$D$5:$D$132=$A12)*('Assignment Calc'!$H$5:$H$132&lt;&gt;"")*('Assignment Calc'!$H$5:$H$132&lt;=AS$3)*('Assignment Calc'!$I$5:$I$132&gt;=AS$3)*'Assignment Calc'!$K$5:$K$132*'Assignment Calc'!$L$5:$L$132))</f>
        <v>0</v>
      </c>
      <c r="AT12" s="26" t="n">
        <f aca="false">IF(WEEKDAY(AT$3,2)&gt;5,0,SUMPRODUCT(('Assignment Calc'!$D$5:$D$132=$A12)*('Assignment Calc'!$H$5:$H$132&lt;&gt;"")*('Assignment Calc'!$H$5:$H$132&lt;=AT$3)*('Assignment Calc'!$I$5:$I$132&gt;=AT$3)*'Assignment Calc'!$K$5:$K$132*'Assignment Calc'!$L$5:$L$132))</f>
        <v>0</v>
      </c>
      <c r="AU12" s="26" t="n">
        <f aca="false">IF(WEEKDAY(AU$3,2)&gt;5,0,SUMPRODUCT(('Assignment Calc'!$D$5:$D$132=$A12)*('Assignment Calc'!$H$5:$H$132&lt;&gt;"")*('Assignment Calc'!$H$5:$H$132&lt;=AU$3)*('Assignment Calc'!$I$5:$I$132&gt;=AU$3)*'Assignment Calc'!$K$5:$K$132*'Assignment Calc'!$L$5:$L$132))</f>
        <v>0</v>
      </c>
      <c r="AV12" s="26" t="n">
        <f aca="false">IF(WEEKDAY(AV$3,2)&gt;5,0,SUMPRODUCT(('Assignment Calc'!$D$5:$D$132=$A12)*('Assignment Calc'!$H$5:$H$132&lt;&gt;"")*('Assignment Calc'!$H$5:$H$132&lt;=AV$3)*('Assignment Calc'!$I$5:$I$132&gt;=AV$3)*'Assignment Calc'!$K$5:$K$132*'Assignment Calc'!$L$5:$L$132))</f>
        <v>0</v>
      </c>
      <c r="AW12" s="26" t="n">
        <f aca="false">IF(WEEKDAY(AW$3,2)&gt;5,0,SUMPRODUCT(('Assignment Calc'!$D$5:$D$132=$A12)*('Assignment Calc'!$H$5:$H$132&lt;&gt;"")*('Assignment Calc'!$H$5:$H$132&lt;=AW$3)*('Assignment Calc'!$I$5:$I$132&gt;=AW$3)*'Assignment Calc'!$K$5:$K$132*'Assignment Calc'!$L$5:$L$132))</f>
        <v>0</v>
      </c>
      <c r="AX12" s="26" t="n">
        <f aca="false">IF(WEEKDAY(AX$3,2)&gt;5,0,SUMPRODUCT(('Assignment Calc'!$D$5:$D$132=$A12)*('Assignment Calc'!$H$5:$H$132&lt;&gt;"")*('Assignment Calc'!$H$5:$H$132&lt;=AX$3)*('Assignment Calc'!$I$5:$I$132&gt;=AX$3)*'Assignment Calc'!$K$5:$K$132*'Assignment Calc'!$L$5:$L$132))</f>
        <v>0</v>
      </c>
      <c r="AY12" s="26" t="n">
        <f aca="false">IF(WEEKDAY(AY$3,2)&gt;5,0,SUMPRODUCT(('Assignment Calc'!$D$5:$D$132=$A12)*('Assignment Calc'!$H$5:$H$132&lt;&gt;"")*('Assignment Calc'!$H$5:$H$132&lt;=AY$3)*('Assignment Calc'!$I$5:$I$132&gt;=AY$3)*'Assignment Calc'!$K$5:$K$132*'Assignment Calc'!$L$5:$L$132))</f>
        <v>0</v>
      </c>
      <c r="AZ12" s="26" t="n">
        <f aca="false">IF(WEEKDAY(AZ$3,2)&gt;5,0,SUMPRODUCT(('Assignment Calc'!$D$5:$D$132=$A12)*('Assignment Calc'!$H$5:$H$132&lt;&gt;"")*('Assignment Calc'!$H$5:$H$132&lt;=AZ$3)*('Assignment Calc'!$I$5:$I$132&gt;=AZ$3)*'Assignment Calc'!$K$5:$K$132*'Assignment Calc'!$L$5:$L$132))</f>
        <v>0</v>
      </c>
      <c r="BA12" s="26" t="n">
        <f aca="false">IF(WEEKDAY(BA$3,2)&gt;5,0,SUMPRODUCT(('Assignment Calc'!$D$5:$D$132=$A12)*('Assignment Calc'!$H$5:$H$132&lt;&gt;"")*('Assignment Calc'!$H$5:$H$132&lt;=BA$3)*('Assignment Calc'!$I$5:$I$132&gt;=BA$3)*'Assignment Calc'!$K$5:$K$132*'Assignment Calc'!$L$5:$L$132))</f>
        <v>0</v>
      </c>
      <c r="BB12" s="26" t="n">
        <f aca="false">IF(WEEKDAY(BB$3,2)&gt;5,0,SUMPRODUCT(('Assignment Calc'!$D$5:$D$132=$A12)*('Assignment Calc'!$H$5:$H$132&lt;&gt;"")*('Assignment Calc'!$H$5:$H$132&lt;=BB$3)*('Assignment Calc'!$I$5:$I$132&gt;=BB$3)*'Assignment Calc'!$K$5:$K$132*'Assignment Calc'!$L$5:$L$132))</f>
        <v>0</v>
      </c>
      <c r="BC12" s="26" t="n">
        <f aca="false">IF(WEEKDAY(BC$3,2)&gt;5,0,SUMPRODUCT(('Assignment Calc'!$D$5:$D$132=$A12)*('Assignment Calc'!$H$5:$H$132&lt;&gt;"")*('Assignment Calc'!$H$5:$H$132&lt;=BC$3)*('Assignment Calc'!$I$5:$I$132&gt;=BC$3)*'Assignment Calc'!$K$5:$K$132*'Assignment Calc'!$L$5:$L$132))</f>
        <v>0</v>
      </c>
      <c r="BD12" s="26" t="n">
        <f aca="false">IF(WEEKDAY(BD$3,2)&gt;5,0,SUMPRODUCT(('Assignment Calc'!$D$5:$D$132=$A12)*('Assignment Calc'!$H$5:$H$132&lt;&gt;"")*('Assignment Calc'!$H$5:$H$132&lt;=BD$3)*('Assignment Calc'!$I$5:$I$132&gt;=BD$3)*'Assignment Calc'!$K$5:$K$132*'Assignment Calc'!$L$5:$L$132))</f>
        <v>0</v>
      </c>
      <c r="BE12" s="26" t="n">
        <f aca="false">IF(WEEKDAY(BE$3,2)&gt;5,0,SUMPRODUCT(('Assignment Calc'!$D$5:$D$132=$A12)*('Assignment Calc'!$H$5:$H$132&lt;&gt;"")*('Assignment Calc'!$H$5:$H$132&lt;=BE$3)*('Assignment Calc'!$I$5:$I$132&gt;=BE$3)*'Assignment Calc'!$K$5:$K$132*'Assignment Calc'!$L$5:$L$132))</f>
        <v>0</v>
      </c>
      <c r="BF12" s="26" t="n">
        <f aca="false">IF(WEEKDAY(BF$3,2)&gt;5,0,SUMPRODUCT(('Assignment Calc'!$D$5:$D$132=$A12)*('Assignment Calc'!$H$5:$H$132&lt;&gt;"")*('Assignment Calc'!$H$5:$H$132&lt;=BF$3)*('Assignment Calc'!$I$5:$I$132&gt;=BF$3)*'Assignment Calc'!$K$5:$K$132*'Assignment Calc'!$L$5:$L$132))</f>
        <v>0</v>
      </c>
      <c r="BG12" s="26" t="n">
        <f aca="false">IF(WEEKDAY(BG$3,2)&gt;5,0,SUMPRODUCT(('Assignment Calc'!$D$5:$D$132=$A12)*('Assignment Calc'!$H$5:$H$132&lt;&gt;"")*('Assignment Calc'!$H$5:$H$132&lt;=BG$3)*('Assignment Calc'!$I$5:$I$132&gt;=BG$3)*'Assignment Calc'!$K$5:$K$132*'Assignment Calc'!$L$5:$L$132))</f>
        <v>0</v>
      </c>
      <c r="BH12" s="26" t="n">
        <f aca="false">IF(WEEKDAY(BH$3,2)&gt;5,0,SUMPRODUCT(('Assignment Calc'!$D$5:$D$132=$A12)*('Assignment Calc'!$H$5:$H$132&lt;&gt;"")*('Assignment Calc'!$H$5:$H$132&lt;=BH$3)*('Assignment Calc'!$I$5:$I$132&gt;=BH$3)*'Assignment Calc'!$K$5:$K$132*'Assignment Calc'!$L$5:$L$132))</f>
        <v>0</v>
      </c>
      <c r="BI12" s="26" t="n">
        <f aca="false">IF(WEEKDAY(BI$3,2)&gt;5,0,SUMPRODUCT(('Assignment Calc'!$D$5:$D$132=$A12)*('Assignment Calc'!$H$5:$H$132&lt;&gt;"")*('Assignment Calc'!$H$5:$H$132&lt;=BI$3)*('Assignment Calc'!$I$5:$I$132&gt;=BI$3)*'Assignment Calc'!$K$5:$K$132*'Assignment Calc'!$L$5:$L$132))</f>
        <v>0</v>
      </c>
      <c r="BJ12" s="26" t="n">
        <f aca="false">IF(WEEKDAY(BJ$3,2)&gt;5,0,SUMPRODUCT(('Assignment Calc'!$D$5:$D$132=$A12)*('Assignment Calc'!$H$5:$H$132&lt;&gt;"")*('Assignment Calc'!$H$5:$H$132&lt;=BJ$3)*('Assignment Calc'!$I$5:$I$132&gt;=BJ$3)*'Assignment Calc'!$K$5:$K$132*'Assignment Calc'!$L$5:$L$132))</f>
        <v>0</v>
      </c>
      <c r="BK12" s="26" t="n">
        <f aca="false">IF(WEEKDAY(BK$3,2)&gt;5,0,SUMPRODUCT(('Assignment Calc'!$D$5:$D$132=$A12)*('Assignment Calc'!$H$5:$H$132&lt;&gt;"")*('Assignment Calc'!$H$5:$H$132&lt;=BK$3)*('Assignment Calc'!$I$5:$I$132&gt;=BK$3)*'Assignment Calc'!$K$5:$K$132*'Assignment Calc'!$L$5:$L$132))</f>
        <v>0</v>
      </c>
      <c r="BL12" s="26" t="n">
        <f aca="false">IF(WEEKDAY(BL$3,2)&gt;5,0,SUMPRODUCT(('Assignment Calc'!$D$5:$D$132=$A12)*('Assignment Calc'!$H$5:$H$132&lt;&gt;"")*('Assignment Calc'!$H$5:$H$132&lt;=BL$3)*('Assignment Calc'!$I$5:$I$132&gt;=BL$3)*'Assignment Calc'!$K$5:$K$132*'Assignment Calc'!$L$5:$L$132))</f>
        <v>0</v>
      </c>
      <c r="BM12" s="26" t="n">
        <f aca="false">IF(WEEKDAY(BM$3,2)&gt;5,0,SUMPRODUCT(('Assignment Calc'!$D$5:$D$132=$A12)*('Assignment Calc'!$H$5:$H$132&lt;&gt;"")*('Assignment Calc'!$H$5:$H$132&lt;=BM$3)*('Assignment Calc'!$I$5:$I$132&gt;=BM$3)*'Assignment Calc'!$K$5:$K$132*'Assignment Calc'!$L$5:$L$132))</f>
        <v>0</v>
      </c>
      <c r="BN12" s="26" t="n">
        <f aca="false">IF(WEEKDAY(BN$3,2)&gt;5,0,SUMPRODUCT(('Assignment Calc'!$D$5:$D$132=$A12)*('Assignment Calc'!$H$5:$H$132&lt;&gt;"")*('Assignment Calc'!$H$5:$H$132&lt;=BN$3)*('Assignment Calc'!$I$5:$I$132&gt;=BN$3)*'Assignment Calc'!$K$5:$K$132*'Assignment Calc'!$L$5:$L$132))</f>
        <v>0</v>
      </c>
      <c r="BO12" s="26" t="n">
        <f aca="false">IF(WEEKDAY(BO$3,2)&gt;5,0,SUMPRODUCT(('Assignment Calc'!$D$5:$D$132=$A12)*('Assignment Calc'!$H$5:$H$132&lt;&gt;"")*('Assignment Calc'!$H$5:$H$132&lt;=BO$3)*('Assignment Calc'!$I$5:$I$132&gt;=BO$3)*'Assignment Calc'!$K$5:$K$132*'Assignment Calc'!$L$5:$L$132))</f>
        <v>0</v>
      </c>
      <c r="BP12" s="26" t="n">
        <f aca="false">IF(WEEKDAY(BP$3,2)&gt;5,0,SUMPRODUCT(('Assignment Calc'!$D$5:$D$132=$A12)*('Assignment Calc'!$H$5:$H$132&lt;&gt;"")*('Assignment Calc'!$H$5:$H$132&lt;=BP$3)*('Assignment Calc'!$I$5:$I$132&gt;=BP$3)*'Assignment Calc'!$K$5:$K$132*'Assignment Calc'!$L$5:$L$132))</f>
        <v>0</v>
      </c>
      <c r="BQ12" s="26" t="n">
        <f aca="false">IF(WEEKDAY(BQ$3,2)&gt;5,0,SUMPRODUCT(('Assignment Calc'!$D$5:$D$132=$A12)*('Assignment Calc'!$H$5:$H$132&lt;&gt;"")*('Assignment Calc'!$H$5:$H$132&lt;=BQ$3)*('Assignment Calc'!$I$5:$I$132&gt;=BQ$3)*'Assignment Calc'!$K$5:$K$132*'Assignment Calc'!$L$5:$L$132))</f>
        <v>0</v>
      </c>
      <c r="BR12" s="26" t="n">
        <f aca="false">IF(WEEKDAY(BR$3,2)&gt;5,0,SUMPRODUCT(('Assignment Calc'!$D$5:$D$132=$A12)*('Assignment Calc'!$H$5:$H$132&lt;&gt;"")*('Assignment Calc'!$H$5:$H$132&lt;=BR$3)*('Assignment Calc'!$I$5:$I$132&gt;=BR$3)*'Assignment Calc'!$K$5:$K$132*'Assignment Calc'!$L$5:$L$132))</f>
        <v>0</v>
      </c>
      <c r="BS12" s="26" t="n">
        <f aca="false">IF(WEEKDAY(BS$3,2)&gt;5,0,SUMPRODUCT(('Assignment Calc'!$D$5:$D$132=$A12)*('Assignment Calc'!$H$5:$H$132&lt;&gt;"")*('Assignment Calc'!$H$5:$H$132&lt;=BS$3)*('Assignment Calc'!$I$5:$I$132&gt;=BS$3)*'Assignment Calc'!$K$5:$K$132*'Assignment Calc'!$L$5:$L$132))</f>
        <v>0</v>
      </c>
      <c r="BT12" s="26" t="n">
        <f aca="false">IF(WEEKDAY(BT$3,2)&gt;5,0,SUMPRODUCT(('Assignment Calc'!$D$5:$D$132=$A12)*('Assignment Calc'!$H$5:$H$132&lt;&gt;"")*('Assignment Calc'!$H$5:$H$132&lt;=BT$3)*('Assignment Calc'!$I$5:$I$132&gt;=BT$3)*'Assignment Calc'!$K$5:$K$132*'Assignment Calc'!$L$5:$L$132))</f>
        <v>0</v>
      </c>
      <c r="BU12" s="26" t="n">
        <f aca="false">IF(WEEKDAY(BU$3,2)&gt;5,0,SUMPRODUCT(('Assignment Calc'!$D$5:$D$132=$A12)*('Assignment Calc'!$H$5:$H$132&lt;&gt;"")*('Assignment Calc'!$H$5:$H$132&lt;=BU$3)*('Assignment Calc'!$I$5:$I$132&gt;=BU$3)*'Assignment Calc'!$K$5:$K$132*'Assignment Calc'!$L$5:$L$132))</f>
        <v>0</v>
      </c>
      <c r="BV12" s="26" t="n">
        <f aca="false">IF(WEEKDAY(BV$3,2)&gt;5,0,SUMPRODUCT(('Assignment Calc'!$D$5:$D$132=$A12)*('Assignment Calc'!$H$5:$H$132&lt;&gt;"")*('Assignment Calc'!$H$5:$H$132&lt;=BV$3)*('Assignment Calc'!$I$5:$I$132&gt;=BV$3)*'Assignment Calc'!$K$5:$K$132*'Assignment Calc'!$L$5:$L$132))</f>
        <v>0</v>
      </c>
      <c r="BW12" s="26" t="n">
        <f aca="false">IF(WEEKDAY(BW$3,2)&gt;5,0,SUMPRODUCT(('Assignment Calc'!$D$5:$D$132=$A12)*('Assignment Calc'!$H$5:$H$132&lt;&gt;"")*('Assignment Calc'!$H$5:$H$132&lt;=BW$3)*('Assignment Calc'!$I$5:$I$132&gt;=BW$3)*'Assignment Calc'!$K$5:$K$132*'Assignment Calc'!$L$5:$L$132))</f>
        <v>0</v>
      </c>
      <c r="BX12" s="26" t="n">
        <f aca="false">IF(WEEKDAY(BX$3,2)&gt;5,0,SUMPRODUCT(('Assignment Calc'!$D$5:$D$132=$A12)*('Assignment Calc'!$H$5:$H$132&lt;&gt;"")*('Assignment Calc'!$H$5:$H$132&lt;=BX$3)*('Assignment Calc'!$I$5:$I$132&gt;=BX$3)*'Assignment Calc'!$K$5:$K$132*'Assignment Calc'!$L$5:$L$132))</f>
        <v>0</v>
      </c>
      <c r="BY12" s="26" t="n">
        <f aca="false">IF(WEEKDAY(BY$3,2)&gt;5,0,SUMPRODUCT(('Assignment Calc'!$D$5:$D$132=$A12)*('Assignment Calc'!$H$5:$H$132&lt;&gt;"")*('Assignment Calc'!$H$5:$H$132&lt;=BY$3)*('Assignment Calc'!$I$5:$I$132&gt;=BY$3)*'Assignment Calc'!$K$5:$K$132*'Assignment Calc'!$L$5:$L$132))</f>
        <v>0</v>
      </c>
      <c r="BZ12" s="26" t="n">
        <f aca="false">IF(WEEKDAY(BZ$3,2)&gt;5,0,SUMPRODUCT(('Assignment Calc'!$D$5:$D$132=$A12)*('Assignment Calc'!$H$5:$H$132&lt;&gt;"")*('Assignment Calc'!$H$5:$H$132&lt;=BZ$3)*('Assignment Calc'!$I$5:$I$132&gt;=BZ$3)*'Assignment Calc'!$K$5:$K$132*'Assignment Calc'!$L$5:$L$132))</f>
        <v>0</v>
      </c>
      <c r="CA12" s="26" t="n">
        <f aca="false">IF(WEEKDAY(CA$3,2)&gt;5,0,SUMPRODUCT(('Assignment Calc'!$D$5:$D$132=$A12)*('Assignment Calc'!$H$5:$H$132&lt;&gt;"")*('Assignment Calc'!$H$5:$H$132&lt;=CA$3)*('Assignment Calc'!$I$5:$I$132&gt;=CA$3)*'Assignment Calc'!$K$5:$K$132*'Assignment Calc'!$L$5:$L$132))</f>
        <v>0</v>
      </c>
      <c r="CB12" s="26" t="n">
        <f aca="false">IF(WEEKDAY(CB$3,2)&gt;5,0,SUMPRODUCT(('Assignment Calc'!$D$5:$D$132=$A12)*('Assignment Calc'!$H$5:$H$132&lt;&gt;"")*('Assignment Calc'!$H$5:$H$132&lt;=CB$3)*('Assignment Calc'!$I$5:$I$132&gt;=CB$3)*'Assignment Calc'!$K$5:$K$132*'Assignment Calc'!$L$5:$L$132))</f>
        <v>0</v>
      </c>
      <c r="CC12" s="26" t="n">
        <f aca="false">IF(WEEKDAY(CC$3,2)&gt;5,0,SUMPRODUCT(('Assignment Calc'!$D$5:$D$132=$A12)*('Assignment Calc'!$H$5:$H$132&lt;&gt;"")*('Assignment Calc'!$H$5:$H$132&lt;=CC$3)*('Assignment Calc'!$I$5:$I$132&gt;=CC$3)*'Assignment Calc'!$K$5:$K$132*'Assignment Calc'!$L$5:$L$132))</f>
        <v>0</v>
      </c>
      <c r="CD12" s="26" t="n">
        <f aca="false">IF(WEEKDAY(CD$3,2)&gt;5,0,SUMPRODUCT(('Assignment Calc'!$D$5:$D$132=$A12)*('Assignment Calc'!$H$5:$H$132&lt;&gt;"")*('Assignment Calc'!$H$5:$H$132&lt;=CD$3)*('Assignment Calc'!$I$5:$I$132&gt;=CD$3)*'Assignment Calc'!$K$5:$K$132*'Assignment Calc'!$L$5:$L$132))</f>
        <v>0</v>
      </c>
      <c r="CE12" s="26" t="n">
        <f aca="false">IF(WEEKDAY(CE$3,2)&gt;5,0,SUMPRODUCT(('Assignment Calc'!$D$5:$D$132=$A12)*('Assignment Calc'!$H$5:$H$132&lt;&gt;"")*('Assignment Calc'!$H$5:$H$132&lt;=CE$3)*('Assignment Calc'!$I$5:$I$132&gt;=CE$3)*'Assignment Calc'!$K$5:$K$132*'Assignment Calc'!$L$5:$L$132))</f>
        <v>0</v>
      </c>
      <c r="CF12" s="26" t="n">
        <f aca="false">IF(WEEKDAY(CF$3,2)&gt;5,0,SUMPRODUCT(('Assignment Calc'!$D$5:$D$132=$A12)*('Assignment Calc'!$H$5:$H$132&lt;&gt;"")*('Assignment Calc'!$H$5:$H$132&lt;=CF$3)*('Assignment Calc'!$I$5:$I$132&gt;=CF$3)*'Assignment Calc'!$K$5:$K$132*'Assignment Calc'!$L$5:$L$132))</f>
        <v>0</v>
      </c>
      <c r="CG12" s="26" t="n">
        <f aca="false">IF(WEEKDAY(CG$3,2)&gt;5,0,SUMPRODUCT(('Assignment Calc'!$D$5:$D$132=$A12)*('Assignment Calc'!$H$5:$H$132&lt;&gt;"")*('Assignment Calc'!$H$5:$H$132&lt;=CG$3)*('Assignment Calc'!$I$5:$I$132&gt;=CG$3)*'Assignment Calc'!$K$5:$K$132*'Assignment Calc'!$L$5:$L$132))</f>
        <v>0</v>
      </c>
      <c r="CH12" s="26" t="n">
        <f aca="false">IF(WEEKDAY(CH$3,2)&gt;5,0,SUMPRODUCT(('Assignment Calc'!$D$5:$D$132=$A12)*('Assignment Calc'!$H$5:$H$132&lt;&gt;"")*('Assignment Calc'!$H$5:$H$132&lt;=CH$3)*('Assignment Calc'!$I$5:$I$132&gt;=CH$3)*'Assignment Calc'!$K$5:$K$132*'Assignment Calc'!$L$5:$L$132))</f>
        <v>0</v>
      </c>
      <c r="CI12" s="26" t="n">
        <f aca="false">IF(WEEKDAY(CI$3,2)&gt;5,0,SUMPRODUCT(('Assignment Calc'!$D$5:$D$132=$A12)*('Assignment Calc'!$H$5:$H$132&lt;&gt;"")*('Assignment Calc'!$H$5:$H$132&lt;=CI$3)*('Assignment Calc'!$I$5:$I$132&gt;=CI$3)*'Assignment Calc'!$K$5:$K$132*'Assignment Calc'!$L$5:$L$132))</f>
        <v>0</v>
      </c>
      <c r="CJ12" s="26" t="n">
        <f aca="false">IF(WEEKDAY(CJ$3,2)&gt;5,0,SUMPRODUCT(('Assignment Calc'!$D$5:$D$132=$A12)*('Assignment Calc'!$H$5:$H$132&lt;&gt;"")*('Assignment Calc'!$H$5:$H$132&lt;=CJ$3)*('Assignment Calc'!$I$5:$I$132&gt;=CJ$3)*'Assignment Calc'!$K$5:$K$132*'Assignment Calc'!$L$5:$L$132))</f>
        <v>0</v>
      </c>
      <c r="CK12" s="26" t="n">
        <f aca="false">IF(WEEKDAY(CK$3,2)&gt;5,0,SUMPRODUCT(('Assignment Calc'!$D$5:$D$132=$A12)*('Assignment Calc'!$H$5:$H$132&lt;&gt;"")*('Assignment Calc'!$H$5:$H$132&lt;=CK$3)*('Assignment Calc'!$I$5:$I$132&gt;=CK$3)*'Assignment Calc'!$K$5:$K$132*'Assignment Calc'!$L$5:$L$132))</f>
        <v>0</v>
      </c>
      <c r="CL12" s="26" t="n">
        <f aca="false">IF(WEEKDAY(CL$3,2)&gt;5,0,SUMPRODUCT(('Assignment Calc'!$D$5:$D$132=$A12)*('Assignment Calc'!$H$5:$H$132&lt;&gt;"")*('Assignment Calc'!$H$5:$H$132&lt;=CL$3)*('Assignment Calc'!$I$5:$I$132&gt;=CL$3)*'Assignment Calc'!$K$5:$K$132*'Assignment Calc'!$L$5:$L$132))</f>
        <v>0</v>
      </c>
      <c r="CM12" s="26" t="n">
        <f aca="false">IF(WEEKDAY(CM$3,2)&gt;5,0,SUMPRODUCT(('Assignment Calc'!$D$5:$D$132=$A12)*('Assignment Calc'!$H$5:$H$132&lt;&gt;"")*('Assignment Calc'!$H$5:$H$132&lt;=CM$3)*('Assignment Calc'!$I$5:$I$132&gt;=CM$3)*'Assignment Calc'!$K$5:$K$132*'Assignment Calc'!$L$5:$L$132))</f>
        <v>0</v>
      </c>
      <c r="CN12" s="26" t="n">
        <f aca="false">IF(WEEKDAY(CN$3,2)&gt;5,0,SUMPRODUCT(('Assignment Calc'!$D$5:$D$132=$A12)*('Assignment Calc'!$H$5:$H$132&lt;&gt;"")*('Assignment Calc'!$H$5:$H$132&lt;=CN$3)*('Assignment Calc'!$I$5:$I$132&gt;=CN$3)*'Assignment Calc'!$K$5:$K$132*'Assignment Calc'!$L$5:$L$132))</f>
        <v>0</v>
      </c>
      <c r="CO12" s="26" t="n">
        <f aca="false">IF(WEEKDAY(CO$3,2)&gt;5,0,SUMPRODUCT(('Assignment Calc'!$D$5:$D$132=$A12)*('Assignment Calc'!$H$5:$H$132&lt;&gt;"")*('Assignment Calc'!$H$5:$H$132&lt;=CO$3)*('Assignment Calc'!$I$5:$I$132&gt;=CO$3)*'Assignment Calc'!$K$5:$K$132*'Assignment Calc'!$L$5:$L$132))</f>
        <v>0</v>
      </c>
      <c r="CP12" s="26" t="n">
        <f aca="false">IF(WEEKDAY(CP$3,2)&gt;5,0,SUMPRODUCT(('Assignment Calc'!$D$5:$D$132=$A12)*('Assignment Calc'!$H$5:$H$132&lt;&gt;"")*('Assignment Calc'!$H$5:$H$132&lt;=CP$3)*('Assignment Calc'!$I$5:$I$132&gt;=CP$3)*'Assignment Calc'!$K$5:$K$132*'Assignment Calc'!$L$5:$L$132))</f>
        <v>0</v>
      </c>
    </row>
  </sheetData>
  <conditionalFormatting sqref="C4:CP12">
    <cfRule type="expression" priority="2" aboveAverage="0" equalAverage="0" bottom="0" percent="0" rank="0" text="" dxfId="3">
      <formula>WEEKDAY(C$3,2)&gt;5</formula>
    </cfRule>
    <cfRule type="expression" priority="3" aboveAverage="0" equalAverage="0" bottom="0" percent="0" rank="0" text="" dxfId="4">
      <formula>AND($A4&lt;&gt;"Unassigned",C4&gt;'Assignment Calc'!$B$1+0.0001)</formula>
    </cfRule>
    <cfRule type="expression" priority="4" aboveAverage="0" equalAverage="0" bottom="0" percent="0" rank="0" text="" dxfId="5">
      <formula>AND($A4&lt;&gt;"Unassigned",ABS(C4-'Assignment Calc'!$B$1)&lt;0.0001)</formula>
    </cfRule>
    <cfRule type="expression" priority="5" aboveAverage="0" equalAverage="0" bottom="0" percent="0" rank="0" text="" dxfId="6">
      <formula>C4&gt;0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2"/>
    <col collapsed="false" customWidth="true" hidden="false" outlineLevel="0" max="94" min="3" style="1" width="7"/>
  </cols>
  <sheetData>
    <row r="1" customFormat="false" ht="15" hidden="false" customHeight="true" outlineLevel="0" collapsed="false">
      <c r="A1" s="2" t="s">
        <v>691</v>
      </c>
    </row>
    <row r="2" customFormat="false" ht="15" hidden="false" customHeight="true" outlineLevel="0" collapsed="false">
      <c r="A2" s="2"/>
      <c r="B2" s="2"/>
      <c r="C2" s="2" t="s">
        <v>682</v>
      </c>
      <c r="D2" s="2" t="s">
        <v>683</v>
      </c>
      <c r="E2" s="2" t="s">
        <v>684</v>
      </c>
      <c r="F2" s="2" t="s">
        <v>685</v>
      </c>
      <c r="G2" s="2" t="s">
        <v>686</v>
      </c>
      <c r="H2" s="2" t="s">
        <v>687</v>
      </c>
      <c r="I2" s="2" t="s">
        <v>688</v>
      </c>
      <c r="J2" s="2" t="s">
        <v>682</v>
      </c>
      <c r="K2" s="2" t="s">
        <v>683</v>
      </c>
      <c r="L2" s="2" t="s">
        <v>684</v>
      </c>
      <c r="M2" s="2" t="s">
        <v>685</v>
      </c>
      <c r="N2" s="2" t="s">
        <v>686</v>
      </c>
      <c r="O2" s="2" t="s">
        <v>687</v>
      </c>
      <c r="P2" s="2" t="s">
        <v>688</v>
      </c>
      <c r="Q2" s="2" t="s">
        <v>682</v>
      </c>
      <c r="R2" s="2" t="s">
        <v>683</v>
      </c>
      <c r="S2" s="2" t="s">
        <v>684</v>
      </c>
      <c r="T2" s="2" t="s">
        <v>685</v>
      </c>
      <c r="U2" s="2" t="s">
        <v>686</v>
      </c>
      <c r="V2" s="2" t="s">
        <v>687</v>
      </c>
      <c r="W2" s="2" t="s">
        <v>688</v>
      </c>
      <c r="X2" s="2" t="s">
        <v>682</v>
      </c>
      <c r="Y2" s="2" t="s">
        <v>683</v>
      </c>
      <c r="Z2" s="2" t="s">
        <v>684</v>
      </c>
      <c r="AA2" s="2" t="s">
        <v>685</v>
      </c>
      <c r="AB2" s="2" t="s">
        <v>686</v>
      </c>
      <c r="AC2" s="2" t="s">
        <v>687</v>
      </c>
      <c r="AD2" s="2" t="s">
        <v>688</v>
      </c>
      <c r="AE2" s="2" t="s">
        <v>682</v>
      </c>
      <c r="AF2" s="2" t="s">
        <v>683</v>
      </c>
      <c r="AG2" s="2" t="s">
        <v>684</v>
      </c>
      <c r="AH2" s="2" t="s">
        <v>685</v>
      </c>
      <c r="AI2" s="2" t="s">
        <v>686</v>
      </c>
      <c r="AJ2" s="2" t="s">
        <v>687</v>
      </c>
      <c r="AK2" s="2" t="s">
        <v>688</v>
      </c>
      <c r="AL2" s="2" t="s">
        <v>682</v>
      </c>
      <c r="AM2" s="2" t="s">
        <v>683</v>
      </c>
      <c r="AN2" s="2" t="s">
        <v>684</v>
      </c>
      <c r="AO2" s="2" t="s">
        <v>685</v>
      </c>
      <c r="AP2" s="2" t="s">
        <v>686</v>
      </c>
      <c r="AQ2" s="2" t="s">
        <v>687</v>
      </c>
      <c r="AR2" s="2" t="s">
        <v>688</v>
      </c>
      <c r="AS2" s="2" t="s">
        <v>682</v>
      </c>
      <c r="AT2" s="2" t="s">
        <v>683</v>
      </c>
      <c r="AU2" s="2" t="s">
        <v>684</v>
      </c>
      <c r="AV2" s="2" t="s">
        <v>685</v>
      </c>
      <c r="AW2" s="2" t="s">
        <v>686</v>
      </c>
      <c r="AX2" s="2" t="s">
        <v>687</v>
      </c>
      <c r="AY2" s="2" t="s">
        <v>688</v>
      </c>
      <c r="AZ2" s="2" t="s">
        <v>682</v>
      </c>
      <c r="BA2" s="2" t="s">
        <v>683</v>
      </c>
      <c r="BB2" s="2" t="s">
        <v>684</v>
      </c>
      <c r="BC2" s="2" t="s">
        <v>685</v>
      </c>
      <c r="BD2" s="2" t="s">
        <v>686</v>
      </c>
      <c r="BE2" s="2" t="s">
        <v>687</v>
      </c>
      <c r="BF2" s="2" t="s">
        <v>688</v>
      </c>
      <c r="BG2" s="2" t="s">
        <v>682</v>
      </c>
      <c r="BH2" s="2" t="s">
        <v>683</v>
      </c>
      <c r="BI2" s="2" t="s">
        <v>684</v>
      </c>
      <c r="BJ2" s="2" t="s">
        <v>685</v>
      </c>
      <c r="BK2" s="2" t="s">
        <v>686</v>
      </c>
      <c r="BL2" s="2" t="s">
        <v>687</v>
      </c>
      <c r="BM2" s="2" t="s">
        <v>688</v>
      </c>
      <c r="BN2" s="2" t="s">
        <v>682</v>
      </c>
      <c r="BO2" s="2" t="s">
        <v>683</v>
      </c>
      <c r="BP2" s="2" t="s">
        <v>684</v>
      </c>
      <c r="BQ2" s="2" t="s">
        <v>685</v>
      </c>
      <c r="BR2" s="2" t="s">
        <v>686</v>
      </c>
      <c r="BS2" s="2" t="s">
        <v>687</v>
      </c>
      <c r="BT2" s="2" t="s">
        <v>688</v>
      </c>
      <c r="BU2" s="2" t="s">
        <v>682</v>
      </c>
      <c r="BV2" s="2" t="s">
        <v>683</v>
      </c>
      <c r="BW2" s="2" t="s">
        <v>684</v>
      </c>
      <c r="BX2" s="2" t="s">
        <v>685</v>
      </c>
      <c r="BY2" s="2" t="s">
        <v>686</v>
      </c>
      <c r="BZ2" s="2" t="s">
        <v>687</v>
      </c>
      <c r="CA2" s="2" t="s">
        <v>688</v>
      </c>
      <c r="CB2" s="2" t="s">
        <v>682</v>
      </c>
      <c r="CC2" s="2" t="s">
        <v>683</v>
      </c>
      <c r="CD2" s="2" t="s">
        <v>684</v>
      </c>
      <c r="CE2" s="2" t="s">
        <v>685</v>
      </c>
      <c r="CF2" s="2" t="s">
        <v>686</v>
      </c>
      <c r="CG2" s="2" t="s">
        <v>687</v>
      </c>
      <c r="CH2" s="2" t="s">
        <v>688</v>
      </c>
      <c r="CI2" s="2" t="s">
        <v>682</v>
      </c>
      <c r="CJ2" s="2" t="s">
        <v>683</v>
      </c>
      <c r="CK2" s="2" t="s">
        <v>684</v>
      </c>
      <c r="CL2" s="2" t="s">
        <v>685</v>
      </c>
      <c r="CM2" s="2" t="s">
        <v>686</v>
      </c>
      <c r="CN2" s="2" t="s">
        <v>687</v>
      </c>
      <c r="CO2" s="2" t="s">
        <v>688</v>
      </c>
      <c r="CP2" s="2" t="s">
        <v>682</v>
      </c>
    </row>
    <row r="3" customFormat="false" ht="15" hidden="false" customHeight="true" outlineLevel="0" collapsed="false">
      <c r="A3" s="2" t="s">
        <v>689</v>
      </c>
      <c r="B3" s="2" t="s">
        <v>690</v>
      </c>
      <c r="C3" s="25" t="n">
        <v>46296</v>
      </c>
      <c r="D3" s="25" t="n">
        <v>46297</v>
      </c>
      <c r="E3" s="25" t="n">
        <v>46298</v>
      </c>
      <c r="F3" s="25" t="n">
        <v>46299</v>
      </c>
      <c r="G3" s="25" t="n">
        <v>46300</v>
      </c>
      <c r="H3" s="25" t="n">
        <v>46301</v>
      </c>
      <c r="I3" s="25" t="n">
        <v>46302</v>
      </c>
      <c r="J3" s="25" t="n">
        <v>46303</v>
      </c>
      <c r="K3" s="25" t="n">
        <v>46304</v>
      </c>
      <c r="L3" s="25" t="n">
        <v>46305</v>
      </c>
      <c r="M3" s="25" t="n">
        <v>46306</v>
      </c>
      <c r="N3" s="25" t="n">
        <v>46307</v>
      </c>
      <c r="O3" s="25" t="n">
        <v>46308</v>
      </c>
      <c r="P3" s="25" t="n">
        <v>46309</v>
      </c>
      <c r="Q3" s="25" t="n">
        <v>46310</v>
      </c>
      <c r="R3" s="25" t="n">
        <v>46311</v>
      </c>
      <c r="S3" s="25" t="n">
        <v>46312</v>
      </c>
      <c r="T3" s="25" t="n">
        <v>46313</v>
      </c>
      <c r="U3" s="25" t="n">
        <v>46314</v>
      </c>
      <c r="V3" s="25" t="n">
        <v>46315</v>
      </c>
      <c r="W3" s="25" t="n">
        <v>46316</v>
      </c>
      <c r="X3" s="25" t="n">
        <v>46317</v>
      </c>
      <c r="Y3" s="25" t="n">
        <v>46318</v>
      </c>
      <c r="Z3" s="25" t="n">
        <v>46319</v>
      </c>
      <c r="AA3" s="25" t="n">
        <v>46320</v>
      </c>
      <c r="AB3" s="25" t="n">
        <v>46321</v>
      </c>
      <c r="AC3" s="25" t="n">
        <v>46322</v>
      </c>
      <c r="AD3" s="25" t="n">
        <v>46323</v>
      </c>
      <c r="AE3" s="25" t="n">
        <v>46324</v>
      </c>
      <c r="AF3" s="25" t="n">
        <v>46325</v>
      </c>
      <c r="AG3" s="25" t="n">
        <v>46326</v>
      </c>
      <c r="AH3" s="25" t="n">
        <v>46327</v>
      </c>
      <c r="AI3" s="25" t="n">
        <v>46328</v>
      </c>
      <c r="AJ3" s="25" t="n">
        <v>46329</v>
      </c>
      <c r="AK3" s="25" t="n">
        <v>46330</v>
      </c>
      <c r="AL3" s="25" t="n">
        <v>46331</v>
      </c>
      <c r="AM3" s="25" t="n">
        <v>46332</v>
      </c>
      <c r="AN3" s="25" t="n">
        <v>46333</v>
      </c>
      <c r="AO3" s="25" t="n">
        <v>46334</v>
      </c>
      <c r="AP3" s="25" t="n">
        <v>46335</v>
      </c>
      <c r="AQ3" s="25" t="n">
        <v>46336</v>
      </c>
      <c r="AR3" s="25" t="n">
        <v>46337</v>
      </c>
      <c r="AS3" s="25" t="n">
        <v>46338</v>
      </c>
      <c r="AT3" s="25" t="n">
        <v>46339</v>
      </c>
      <c r="AU3" s="25" t="n">
        <v>46340</v>
      </c>
      <c r="AV3" s="25" t="n">
        <v>46341</v>
      </c>
      <c r="AW3" s="25" t="n">
        <v>46342</v>
      </c>
      <c r="AX3" s="25" t="n">
        <v>46343</v>
      </c>
      <c r="AY3" s="25" t="n">
        <v>46344</v>
      </c>
      <c r="AZ3" s="25" t="n">
        <v>46345</v>
      </c>
      <c r="BA3" s="25" t="n">
        <v>46346</v>
      </c>
      <c r="BB3" s="25" t="n">
        <v>46347</v>
      </c>
      <c r="BC3" s="25" t="n">
        <v>46348</v>
      </c>
      <c r="BD3" s="25" t="n">
        <v>46349</v>
      </c>
      <c r="BE3" s="25" t="n">
        <v>46350</v>
      </c>
      <c r="BF3" s="25" t="n">
        <v>46351</v>
      </c>
      <c r="BG3" s="25" t="n">
        <v>46352</v>
      </c>
      <c r="BH3" s="25" t="n">
        <v>46353</v>
      </c>
      <c r="BI3" s="25" t="n">
        <v>46354</v>
      </c>
      <c r="BJ3" s="25" t="n">
        <v>46355</v>
      </c>
      <c r="BK3" s="25" t="n">
        <v>46356</v>
      </c>
      <c r="BL3" s="25" t="n">
        <v>46357</v>
      </c>
      <c r="BM3" s="25" t="n">
        <v>46358</v>
      </c>
      <c r="BN3" s="25" t="n">
        <v>46359</v>
      </c>
      <c r="BO3" s="25" t="n">
        <v>46360</v>
      </c>
      <c r="BP3" s="25" t="n">
        <v>46361</v>
      </c>
      <c r="BQ3" s="25" t="n">
        <v>46362</v>
      </c>
      <c r="BR3" s="25" t="n">
        <v>46363</v>
      </c>
      <c r="BS3" s="25" t="n">
        <v>46364</v>
      </c>
      <c r="BT3" s="25" t="n">
        <v>46365</v>
      </c>
      <c r="BU3" s="25" t="n">
        <v>46366</v>
      </c>
      <c r="BV3" s="25" t="n">
        <v>46367</v>
      </c>
      <c r="BW3" s="25" t="n">
        <v>46368</v>
      </c>
      <c r="BX3" s="25" t="n">
        <v>46369</v>
      </c>
      <c r="BY3" s="25" t="n">
        <v>46370</v>
      </c>
      <c r="BZ3" s="25" t="n">
        <v>46371</v>
      </c>
      <c r="CA3" s="25" t="n">
        <v>46372</v>
      </c>
      <c r="CB3" s="25" t="n">
        <v>46373</v>
      </c>
      <c r="CC3" s="25" t="n">
        <v>46374</v>
      </c>
      <c r="CD3" s="25" t="n">
        <v>46375</v>
      </c>
      <c r="CE3" s="25" t="n">
        <v>46376</v>
      </c>
      <c r="CF3" s="25" t="n">
        <v>46377</v>
      </c>
      <c r="CG3" s="25" t="n">
        <v>46378</v>
      </c>
      <c r="CH3" s="25" t="n">
        <v>46379</v>
      </c>
      <c r="CI3" s="25" t="n">
        <v>46380</v>
      </c>
      <c r="CJ3" s="25" t="n">
        <v>46381</v>
      </c>
      <c r="CK3" s="25" t="n">
        <v>46382</v>
      </c>
      <c r="CL3" s="25" t="n">
        <v>46383</v>
      </c>
      <c r="CM3" s="25" t="n">
        <v>46384</v>
      </c>
      <c r="CN3" s="25" t="n">
        <v>46385</v>
      </c>
      <c r="CO3" s="25" t="n">
        <v>46386</v>
      </c>
      <c r="CP3" s="25" t="n">
        <v>46387</v>
      </c>
    </row>
    <row r="4" customFormat="false" ht="15" hidden="false" customHeight="true" outlineLevel="0" collapsed="false">
      <c r="A4" s="2" t="s">
        <v>39</v>
      </c>
      <c r="B4" s="23" t="n">
        <f aca="false">SUM(C4:CP4)</f>
        <v>223</v>
      </c>
      <c r="C4" s="26" t="n">
        <f aca="false">IF(WEEKDAY(C$3,2)&gt;5,0,SUMPRODUCT(('Assignment Calc'!$D$5:$D$132=$A4)*('Assignment Calc'!$H$5:$H$132&lt;&gt;"")*('Assignment Calc'!$H$5:$H$132&lt;=C$3)*('Assignment Calc'!$I$5:$I$132&gt;=C$3)*'Assignment Calc'!$K$5:$K$132*'Assignment Calc'!$L$5:$L$132*'Assignment Calc'!$M$5:$M$132))</f>
        <v>9</v>
      </c>
      <c r="D4" s="26" t="n">
        <f aca="false">IF(WEEKDAY(D$3,2)&gt;5,0,SUMPRODUCT(('Assignment Calc'!$D$5:$D$132=$A4)*('Assignment Calc'!$H$5:$H$132&lt;&gt;"")*('Assignment Calc'!$H$5:$H$132&lt;=D$3)*('Assignment Calc'!$I$5:$I$132&gt;=D$3)*'Assignment Calc'!$K$5:$K$132*'Assignment Calc'!$L$5:$L$132*'Assignment Calc'!$M$5:$M$132))</f>
        <v>9</v>
      </c>
      <c r="E4" s="26" t="n">
        <f aca="false">IF(WEEKDAY(E$3,2)&gt;5,0,SUMPRODUCT(('Assignment Calc'!$D$5:$D$132=$A4)*('Assignment Calc'!$H$5:$H$132&lt;&gt;"")*('Assignment Calc'!$H$5:$H$132&lt;=E$3)*('Assignment Calc'!$I$5:$I$132&gt;=E$3)*'Assignment Calc'!$K$5:$K$132*'Assignment Calc'!$L$5:$L$132*'Assignment Calc'!$M$5:$M$132))</f>
        <v>0</v>
      </c>
      <c r="F4" s="26" t="n">
        <f aca="false">IF(WEEKDAY(F$3,2)&gt;5,0,SUMPRODUCT(('Assignment Calc'!$D$5:$D$132=$A4)*('Assignment Calc'!$H$5:$H$132&lt;&gt;"")*('Assignment Calc'!$H$5:$H$132&lt;=F$3)*('Assignment Calc'!$I$5:$I$132&gt;=F$3)*'Assignment Calc'!$K$5:$K$132*'Assignment Calc'!$L$5:$L$132*'Assignment Calc'!$M$5:$M$132))</f>
        <v>0</v>
      </c>
      <c r="G4" s="26" t="n">
        <f aca="false">IF(WEEKDAY(G$3,2)&gt;5,0,SUMPRODUCT(('Assignment Calc'!$D$5:$D$132=$A4)*('Assignment Calc'!$H$5:$H$132&lt;&gt;"")*('Assignment Calc'!$H$5:$H$132&lt;=G$3)*('Assignment Calc'!$I$5:$I$132&gt;=G$3)*'Assignment Calc'!$K$5:$K$132*'Assignment Calc'!$L$5:$L$132*'Assignment Calc'!$M$5:$M$132))</f>
        <v>9</v>
      </c>
      <c r="H4" s="26" t="n">
        <f aca="false">IF(WEEKDAY(H$3,2)&gt;5,0,SUMPRODUCT(('Assignment Calc'!$D$5:$D$132=$A4)*('Assignment Calc'!$H$5:$H$132&lt;&gt;"")*('Assignment Calc'!$H$5:$H$132&lt;=H$3)*('Assignment Calc'!$I$5:$I$132&gt;=H$3)*'Assignment Calc'!$K$5:$K$132*'Assignment Calc'!$L$5:$L$132*'Assignment Calc'!$M$5:$M$132))</f>
        <v>9</v>
      </c>
      <c r="I4" s="26" t="n">
        <f aca="false">IF(WEEKDAY(I$3,2)&gt;5,0,SUMPRODUCT(('Assignment Calc'!$D$5:$D$132=$A4)*('Assignment Calc'!$H$5:$H$132&lt;&gt;"")*('Assignment Calc'!$H$5:$H$132&lt;=I$3)*('Assignment Calc'!$I$5:$I$132&gt;=I$3)*'Assignment Calc'!$K$5:$K$132*'Assignment Calc'!$L$5:$L$132*'Assignment Calc'!$M$5:$M$132))</f>
        <v>9</v>
      </c>
      <c r="J4" s="26" t="n">
        <f aca="false">IF(WEEKDAY(J$3,2)&gt;5,0,SUMPRODUCT(('Assignment Calc'!$D$5:$D$132=$A4)*('Assignment Calc'!$H$5:$H$132&lt;&gt;"")*('Assignment Calc'!$H$5:$H$132&lt;=J$3)*('Assignment Calc'!$I$5:$I$132&gt;=J$3)*'Assignment Calc'!$K$5:$K$132*'Assignment Calc'!$L$5:$L$132*'Assignment Calc'!$M$5:$M$132))</f>
        <v>9</v>
      </c>
      <c r="K4" s="26" t="n">
        <f aca="false">IF(WEEKDAY(K$3,2)&gt;5,0,SUMPRODUCT(('Assignment Calc'!$D$5:$D$132=$A4)*('Assignment Calc'!$H$5:$H$132&lt;&gt;"")*('Assignment Calc'!$H$5:$H$132&lt;=K$3)*('Assignment Calc'!$I$5:$I$132&gt;=K$3)*'Assignment Calc'!$K$5:$K$132*'Assignment Calc'!$L$5:$L$132*'Assignment Calc'!$M$5:$M$132))</f>
        <v>9</v>
      </c>
      <c r="L4" s="26" t="n">
        <f aca="false">IF(WEEKDAY(L$3,2)&gt;5,0,SUMPRODUCT(('Assignment Calc'!$D$5:$D$132=$A4)*('Assignment Calc'!$H$5:$H$132&lt;&gt;"")*('Assignment Calc'!$H$5:$H$132&lt;=L$3)*('Assignment Calc'!$I$5:$I$132&gt;=L$3)*'Assignment Calc'!$K$5:$K$132*'Assignment Calc'!$L$5:$L$132*'Assignment Calc'!$M$5:$M$132))</f>
        <v>0</v>
      </c>
      <c r="M4" s="26" t="n">
        <f aca="false">IF(WEEKDAY(M$3,2)&gt;5,0,SUMPRODUCT(('Assignment Calc'!$D$5:$D$132=$A4)*('Assignment Calc'!$H$5:$H$132&lt;&gt;"")*('Assignment Calc'!$H$5:$H$132&lt;=M$3)*('Assignment Calc'!$I$5:$I$132&gt;=M$3)*'Assignment Calc'!$K$5:$K$132*'Assignment Calc'!$L$5:$L$132*'Assignment Calc'!$M$5:$M$132))</f>
        <v>0</v>
      </c>
      <c r="N4" s="26" t="n">
        <f aca="false">IF(WEEKDAY(N$3,2)&gt;5,0,SUMPRODUCT(('Assignment Calc'!$D$5:$D$132=$A4)*('Assignment Calc'!$H$5:$H$132&lt;&gt;"")*('Assignment Calc'!$H$5:$H$132&lt;=N$3)*('Assignment Calc'!$I$5:$I$132&gt;=N$3)*'Assignment Calc'!$K$5:$K$132*'Assignment Calc'!$L$5:$L$132*'Assignment Calc'!$M$5:$M$132))</f>
        <v>9</v>
      </c>
      <c r="O4" s="26" t="n">
        <f aca="false">IF(WEEKDAY(O$3,2)&gt;5,0,SUMPRODUCT(('Assignment Calc'!$D$5:$D$132=$A4)*('Assignment Calc'!$H$5:$H$132&lt;&gt;"")*('Assignment Calc'!$H$5:$H$132&lt;=O$3)*('Assignment Calc'!$I$5:$I$132&gt;=O$3)*'Assignment Calc'!$K$5:$K$132*'Assignment Calc'!$L$5:$L$132*'Assignment Calc'!$M$5:$M$132))</f>
        <v>9</v>
      </c>
      <c r="P4" s="26" t="n">
        <f aca="false">IF(WEEKDAY(P$3,2)&gt;5,0,SUMPRODUCT(('Assignment Calc'!$D$5:$D$132=$A4)*('Assignment Calc'!$H$5:$H$132&lt;&gt;"")*('Assignment Calc'!$H$5:$H$132&lt;=P$3)*('Assignment Calc'!$I$5:$I$132&gt;=P$3)*'Assignment Calc'!$K$5:$K$132*'Assignment Calc'!$L$5:$L$132*'Assignment Calc'!$M$5:$M$132))</f>
        <v>9</v>
      </c>
      <c r="Q4" s="26" t="n">
        <f aca="false">IF(WEEKDAY(Q$3,2)&gt;5,0,SUMPRODUCT(('Assignment Calc'!$D$5:$D$132=$A4)*('Assignment Calc'!$H$5:$H$132&lt;&gt;"")*('Assignment Calc'!$H$5:$H$132&lt;=Q$3)*('Assignment Calc'!$I$5:$I$132&gt;=Q$3)*'Assignment Calc'!$K$5:$K$132*'Assignment Calc'!$L$5:$L$132*'Assignment Calc'!$M$5:$M$132))</f>
        <v>9</v>
      </c>
      <c r="R4" s="26" t="n">
        <f aca="false">IF(WEEKDAY(R$3,2)&gt;5,0,SUMPRODUCT(('Assignment Calc'!$D$5:$D$132=$A4)*('Assignment Calc'!$H$5:$H$132&lt;&gt;"")*('Assignment Calc'!$H$5:$H$132&lt;=R$3)*('Assignment Calc'!$I$5:$I$132&gt;=R$3)*'Assignment Calc'!$K$5:$K$132*'Assignment Calc'!$L$5:$L$132*'Assignment Calc'!$M$5:$M$132))</f>
        <v>9</v>
      </c>
      <c r="S4" s="26" t="n">
        <f aca="false">IF(WEEKDAY(S$3,2)&gt;5,0,SUMPRODUCT(('Assignment Calc'!$D$5:$D$132=$A4)*('Assignment Calc'!$H$5:$H$132&lt;&gt;"")*('Assignment Calc'!$H$5:$H$132&lt;=S$3)*('Assignment Calc'!$I$5:$I$132&gt;=S$3)*'Assignment Calc'!$K$5:$K$132*'Assignment Calc'!$L$5:$L$132*'Assignment Calc'!$M$5:$M$132))</f>
        <v>0</v>
      </c>
      <c r="T4" s="26" t="n">
        <f aca="false">IF(WEEKDAY(T$3,2)&gt;5,0,SUMPRODUCT(('Assignment Calc'!$D$5:$D$132=$A4)*('Assignment Calc'!$H$5:$H$132&lt;&gt;"")*('Assignment Calc'!$H$5:$H$132&lt;=T$3)*('Assignment Calc'!$I$5:$I$132&gt;=T$3)*'Assignment Calc'!$K$5:$K$132*'Assignment Calc'!$L$5:$L$132*'Assignment Calc'!$M$5:$M$132))</f>
        <v>0</v>
      </c>
      <c r="U4" s="26" t="n">
        <f aca="false">IF(WEEKDAY(U$3,2)&gt;5,0,SUMPRODUCT(('Assignment Calc'!$D$5:$D$132=$A4)*('Assignment Calc'!$H$5:$H$132&lt;&gt;"")*('Assignment Calc'!$H$5:$H$132&lt;=U$3)*('Assignment Calc'!$I$5:$I$132&gt;=U$3)*'Assignment Calc'!$K$5:$K$132*'Assignment Calc'!$L$5:$L$132*'Assignment Calc'!$M$5:$M$132))</f>
        <v>9</v>
      </c>
      <c r="V4" s="26" t="n">
        <f aca="false">IF(WEEKDAY(V$3,2)&gt;5,0,SUMPRODUCT(('Assignment Calc'!$D$5:$D$132=$A4)*('Assignment Calc'!$H$5:$H$132&lt;&gt;"")*('Assignment Calc'!$H$5:$H$132&lt;=V$3)*('Assignment Calc'!$I$5:$I$132&gt;=V$3)*'Assignment Calc'!$K$5:$K$132*'Assignment Calc'!$L$5:$L$132*'Assignment Calc'!$M$5:$M$132))</f>
        <v>9</v>
      </c>
      <c r="W4" s="26" t="n">
        <f aca="false">IF(WEEKDAY(W$3,2)&gt;5,0,SUMPRODUCT(('Assignment Calc'!$D$5:$D$132=$A4)*('Assignment Calc'!$H$5:$H$132&lt;&gt;"")*('Assignment Calc'!$H$5:$H$132&lt;=W$3)*('Assignment Calc'!$I$5:$I$132&gt;=W$3)*'Assignment Calc'!$K$5:$K$132*'Assignment Calc'!$L$5:$L$132*'Assignment Calc'!$M$5:$M$132))</f>
        <v>9</v>
      </c>
      <c r="X4" s="26" t="n">
        <f aca="false">IF(WEEKDAY(X$3,2)&gt;5,0,SUMPRODUCT(('Assignment Calc'!$D$5:$D$132=$A4)*('Assignment Calc'!$H$5:$H$132&lt;&gt;"")*('Assignment Calc'!$H$5:$H$132&lt;=X$3)*('Assignment Calc'!$I$5:$I$132&gt;=X$3)*'Assignment Calc'!$K$5:$K$132*'Assignment Calc'!$L$5:$L$132*'Assignment Calc'!$M$5:$M$132))</f>
        <v>9</v>
      </c>
      <c r="Y4" s="26" t="n">
        <f aca="false">IF(WEEKDAY(Y$3,2)&gt;5,0,SUMPRODUCT(('Assignment Calc'!$D$5:$D$132=$A4)*('Assignment Calc'!$H$5:$H$132&lt;&gt;"")*('Assignment Calc'!$H$5:$H$132&lt;=Y$3)*('Assignment Calc'!$I$5:$I$132&gt;=Y$3)*'Assignment Calc'!$K$5:$K$132*'Assignment Calc'!$L$5:$L$132*'Assignment Calc'!$M$5:$M$132))</f>
        <v>9</v>
      </c>
      <c r="Z4" s="26" t="n">
        <f aca="false">IF(WEEKDAY(Z$3,2)&gt;5,0,SUMPRODUCT(('Assignment Calc'!$D$5:$D$132=$A4)*('Assignment Calc'!$H$5:$H$132&lt;&gt;"")*('Assignment Calc'!$H$5:$H$132&lt;=Z$3)*('Assignment Calc'!$I$5:$I$132&gt;=Z$3)*'Assignment Calc'!$K$5:$K$132*'Assignment Calc'!$L$5:$L$132*'Assignment Calc'!$M$5:$M$132))</f>
        <v>0</v>
      </c>
      <c r="AA4" s="26" t="n">
        <f aca="false">IF(WEEKDAY(AA$3,2)&gt;5,0,SUMPRODUCT(('Assignment Calc'!$D$5:$D$132=$A4)*('Assignment Calc'!$H$5:$H$132&lt;&gt;"")*('Assignment Calc'!$H$5:$H$132&lt;=AA$3)*('Assignment Calc'!$I$5:$I$132&gt;=AA$3)*'Assignment Calc'!$K$5:$K$132*'Assignment Calc'!$L$5:$L$132*'Assignment Calc'!$M$5:$M$132))</f>
        <v>0</v>
      </c>
      <c r="AB4" s="26" t="n">
        <f aca="false">IF(WEEKDAY(AB$3,2)&gt;5,0,SUMPRODUCT(('Assignment Calc'!$D$5:$D$132=$A4)*('Assignment Calc'!$H$5:$H$132&lt;&gt;"")*('Assignment Calc'!$H$5:$H$132&lt;=AB$3)*('Assignment Calc'!$I$5:$I$132&gt;=AB$3)*'Assignment Calc'!$K$5:$K$132*'Assignment Calc'!$L$5:$L$132*'Assignment Calc'!$M$5:$M$132))</f>
        <v>9</v>
      </c>
      <c r="AC4" s="26" t="n">
        <f aca="false">IF(WEEKDAY(AC$3,2)&gt;5,0,SUMPRODUCT(('Assignment Calc'!$D$5:$D$132=$A4)*('Assignment Calc'!$H$5:$H$132&lt;&gt;"")*('Assignment Calc'!$H$5:$H$132&lt;=AC$3)*('Assignment Calc'!$I$5:$I$132&gt;=AC$3)*'Assignment Calc'!$K$5:$K$132*'Assignment Calc'!$L$5:$L$132*'Assignment Calc'!$M$5:$M$132))</f>
        <v>9</v>
      </c>
      <c r="AD4" s="26" t="n">
        <f aca="false">IF(WEEKDAY(AD$3,2)&gt;5,0,SUMPRODUCT(('Assignment Calc'!$D$5:$D$132=$A4)*('Assignment Calc'!$H$5:$H$132&lt;&gt;"")*('Assignment Calc'!$H$5:$H$132&lt;=AD$3)*('Assignment Calc'!$I$5:$I$132&gt;=AD$3)*'Assignment Calc'!$K$5:$K$132*'Assignment Calc'!$L$5:$L$132*'Assignment Calc'!$M$5:$M$132))</f>
        <v>9</v>
      </c>
      <c r="AE4" s="26" t="n">
        <f aca="false">IF(WEEKDAY(AE$3,2)&gt;5,0,SUMPRODUCT(('Assignment Calc'!$D$5:$D$132=$A4)*('Assignment Calc'!$H$5:$H$132&lt;&gt;"")*('Assignment Calc'!$H$5:$H$132&lt;=AE$3)*('Assignment Calc'!$I$5:$I$132&gt;=AE$3)*'Assignment Calc'!$K$5:$K$132*'Assignment Calc'!$L$5:$L$132*'Assignment Calc'!$M$5:$M$132))</f>
        <v>9</v>
      </c>
      <c r="AF4" s="26" t="n">
        <f aca="false">IF(WEEKDAY(AF$3,2)&gt;5,0,SUMPRODUCT(('Assignment Calc'!$D$5:$D$132=$A4)*('Assignment Calc'!$H$5:$H$132&lt;&gt;"")*('Assignment Calc'!$H$5:$H$132&lt;=AF$3)*('Assignment Calc'!$I$5:$I$132&gt;=AF$3)*'Assignment Calc'!$K$5:$K$132*'Assignment Calc'!$L$5:$L$132*'Assignment Calc'!$M$5:$M$132))</f>
        <v>9</v>
      </c>
      <c r="AG4" s="26" t="n">
        <f aca="false">IF(WEEKDAY(AG$3,2)&gt;5,0,SUMPRODUCT(('Assignment Calc'!$D$5:$D$132=$A4)*('Assignment Calc'!$H$5:$H$132&lt;&gt;"")*('Assignment Calc'!$H$5:$H$132&lt;=AG$3)*('Assignment Calc'!$I$5:$I$132&gt;=AG$3)*'Assignment Calc'!$K$5:$K$132*'Assignment Calc'!$L$5:$L$132*'Assignment Calc'!$M$5:$M$132))</f>
        <v>0</v>
      </c>
      <c r="AH4" s="26" t="n">
        <f aca="false">IF(WEEKDAY(AH$3,2)&gt;5,0,SUMPRODUCT(('Assignment Calc'!$D$5:$D$132=$A4)*('Assignment Calc'!$H$5:$H$132&lt;&gt;"")*('Assignment Calc'!$H$5:$H$132&lt;=AH$3)*('Assignment Calc'!$I$5:$I$132&gt;=AH$3)*'Assignment Calc'!$K$5:$K$132*'Assignment Calc'!$L$5:$L$132*'Assignment Calc'!$M$5:$M$132))</f>
        <v>0</v>
      </c>
      <c r="AI4" s="26" t="n">
        <f aca="false">IF(WEEKDAY(AI$3,2)&gt;5,0,SUMPRODUCT(('Assignment Calc'!$D$5:$D$132=$A4)*('Assignment Calc'!$H$5:$H$132&lt;&gt;"")*('Assignment Calc'!$H$5:$H$132&lt;=AI$3)*('Assignment Calc'!$I$5:$I$132&gt;=AI$3)*'Assignment Calc'!$K$5:$K$132*'Assignment Calc'!$L$5:$L$132*'Assignment Calc'!$M$5:$M$132))</f>
        <v>0</v>
      </c>
      <c r="AJ4" s="26" t="n">
        <f aca="false">IF(WEEKDAY(AJ$3,2)&gt;5,0,SUMPRODUCT(('Assignment Calc'!$D$5:$D$132=$A4)*('Assignment Calc'!$H$5:$H$132&lt;&gt;"")*('Assignment Calc'!$H$5:$H$132&lt;=AJ$3)*('Assignment Calc'!$I$5:$I$132&gt;=AJ$3)*'Assignment Calc'!$K$5:$K$132*'Assignment Calc'!$L$5:$L$132*'Assignment Calc'!$M$5:$M$132))</f>
        <v>0</v>
      </c>
      <c r="AK4" s="26" t="n">
        <f aca="false">IF(WEEKDAY(AK$3,2)&gt;5,0,SUMPRODUCT(('Assignment Calc'!$D$5:$D$132=$A4)*('Assignment Calc'!$H$5:$H$132&lt;&gt;"")*('Assignment Calc'!$H$5:$H$132&lt;=AK$3)*('Assignment Calc'!$I$5:$I$132&gt;=AK$3)*'Assignment Calc'!$K$5:$K$132*'Assignment Calc'!$L$5:$L$132*'Assignment Calc'!$M$5:$M$132))</f>
        <v>0</v>
      </c>
      <c r="AL4" s="26" t="n">
        <f aca="false">IF(WEEKDAY(AL$3,2)&gt;5,0,SUMPRODUCT(('Assignment Calc'!$D$5:$D$132=$A4)*('Assignment Calc'!$H$5:$H$132&lt;&gt;"")*('Assignment Calc'!$H$5:$H$132&lt;=AL$3)*('Assignment Calc'!$I$5:$I$132&gt;=AL$3)*'Assignment Calc'!$K$5:$K$132*'Assignment Calc'!$L$5:$L$132*'Assignment Calc'!$M$5:$M$132))</f>
        <v>0</v>
      </c>
      <c r="AM4" s="26" t="n">
        <f aca="false">IF(WEEKDAY(AM$3,2)&gt;5,0,SUMPRODUCT(('Assignment Calc'!$D$5:$D$132=$A4)*('Assignment Calc'!$H$5:$H$132&lt;&gt;"")*('Assignment Calc'!$H$5:$H$132&lt;=AM$3)*('Assignment Calc'!$I$5:$I$132&gt;=AM$3)*'Assignment Calc'!$K$5:$K$132*'Assignment Calc'!$L$5:$L$132*'Assignment Calc'!$M$5:$M$132))</f>
        <v>0</v>
      </c>
      <c r="AN4" s="26" t="n">
        <f aca="false">IF(WEEKDAY(AN$3,2)&gt;5,0,SUMPRODUCT(('Assignment Calc'!$D$5:$D$132=$A4)*('Assignment Calc'!$H$5:$H$132&lt;&gt;"")*('Assignment Calc'!$H$5:$H$132&lt;=AN$3)*('Assignment Calc'!$I$5:$I$132&gt;=AN$3)*'Assignment Calc'!$K$5:$K$132*'Assignment Calc'!$L$5:$L$132*'Assignment Calc'!$M$5:$M$132))</f>
        <v>0</v>
      </c>
      <c r="AO4" s="26" t="n">
        <f aca="false">IF(WEEKDAY(AO$3,2)&gt;5,0,SUMPRODUCT(('Assignment Calc'!$D$5:$D$132=$A4)*('Assignment Calc'!$H$5:$H$132&lt;&gt;"")*('Assignment Calc'!$H$5:$H$132&lt;=AO$3)*('Assignment Calc'!$I$5:$I$132&gt;=AO$3)*'Assignment Calc'!$K$5:$K$132*'Assignment Calc'!$L$5:$L$132*'Assignment Calc'!$M$5:$M$132))</f>
        <v>0</v>
      </c>
      <c r="AP4" s="26" t="n">
        <f aca="false">IF(WEEKDAY(AP$3,2)&gt;5,0,SUMPRODUCT(('Assignment Calc'!$D$5:$D$132=$A4)*('Assignment Calc'!$H$5:$H$132&lt;&gt;"")*('Assignment Calc'!$H$5:$H$132&lt;=AP$3)*('Assignment Calc'!$I$5:$I$132&gt;=AP$3)*'Assignment Calc'!$K$5:$K$132*'Assignment Calc'!$L$5:$L$132*'Assignment Calc'!$M$5:$M$132))</f>
        <v>0</v>
      </c>
      <c r="AQ4" s="26" t="n">
        <f aca="false">IF(WEEKDAY(AQ$3,2)&gt;5,0,SUMPRODUCT(('Assignment Calc'!$D$5:$D$132=$A4)*('Assignment Calc'!$H$5:$H$132&lt;&gt;"")*('Assignment Calc'!$H$5:$H$132&lt;=AQ$3)*('Assignment Calc'!$I$5:$I$132&gt;=AQ$3)*'Assignment Calc'!$K$5:$K$132*'Assignment Calc'!$L$5:$L$132*'Assignment Calc'!$M$5:$M$132))</f>
        <v>0</v>
      </c>
      <c r="AR4" s="26" t="n">
        <f aca="false">IF(WEEKDAY(AR$3,2)&gt;5,0,SUMPRODUCT(('Assignment Calc'!$D$5:$D$132=$A4)*('Assignment Calc'!$H$5:$H$132&lt;&gt;"")*('Assignment Calc'!$H$5:$H$132&lt;=AR$3)*('Assignment Calc'!$I$5:$I$132&gt;=AR$3)*'Assignment Calc'!$K$5:$K$132*'Assignment Calc'!$L$5:$L$132*'Assignment Calc'!$M$5:$M$132))</f>
        <v>0</v>
      </c>
      <c r="AS4" s="26" t="n">
        <f aca="false">IF(WEEKDAY(AS$3,2)&gt;5,0,SUMPRODUCT(('Assignment Calc'!$D$5:$D$132=$A4)*('Assignment Calc'!$H$5:$H$132&lt;&gt;"")*('Assignment Calc'!$H$5:$H$132&lt;=AS$3)*('Assignment Calc'!$I$5:$I$132&gt;=AS$3)*'Assignment Calc'!$K$5:$K$132*'Assignment Calc'!$L$5:$L$132*'Assignment Calc'!$M$5:$M$132))</f>
        <v>0</v>
      </c>
      <c r="AT4" s="26" t="n">
        <f aca="false">IF(WEEKDAY(AT$3,2)&gt;5,0,SUMPRODUCT(('Assignment Calc'!$D$5:$D$132=$A4)*('Assignment Calc'!$H$5:$H$132&lt;&gt;"")*('Assignment Calc'!$H$5:$H$132&lt;=AT$3)*('Assignment Calc'!$I$5:$I$132&gt;=AT$3)*'Assignment Calc'!$K$5:$K$132*'Assignment Calc'!$L$5:$L$132*'Assignment Calc'!$M$5:$M$132))</f>
        <v>0</v>
      </c>
      <c r="AU4" s="26" t="n">
        <f aca="false">IF(WEEKDAY(AU$3,2)&gt;5,0,SUMPRODUCT(('Assignment Calc'!$D$5:$D$132=$A4)*('Assignment Calc'!$H$5:$H$132&lt;&gt;"")*('Assignment Calc'!$H$5:$H$132&lt;=AU$3)*('Assignment Calc'!$I$5:$I$132&gt;=AU$3)*'Assignment Calc'!$K$5:$K$132*'Assignment Calc'!$L$5:$L$132*'Assignment Calc'!$M$5:$M$132))</f>
        <v>0</v>
      </c>
      <c r="AV4" s="26" t="n">
        <f aca="false">IF(WEEKDAY(AV$3,2)&gt;5,0,SUMPRODUCT(('Assignment Calc'!$D$5:$D$132=$A4)*('Assignment Calc'!$H$5:$H$132&lt;&gt;"")*('Assignment Calc'!$H$5:$H$132&lt;=AV$3)*('Assignment Calc'!$I$5:$I$132&gt;=AV$3)*'Assignment Calc'!$K$5:$K$132*'Assignment Calc'!$L$5:$L$132*'Assignment Calc'!$M$5:$M$132))</f>
        <v>0</v>
      </c>
      <c r="AW4" s="26" t="n">
        <f aca="false">IF(WEEKDAY(AW$3,2)&gt;5,0,SUMPRODUCT(('Assignment Calc'!$D$5:$D$132=$A4)*('Assignment Calc'!$H$5:$H$132&lt;&gt;"")*('Assignment Calc'!$H$5:$H$132&lt;=AW$3)*('Assignment Calc'!$I$5:$I$132&gt;=AW$3)*'Assignment Calc'!$K$5:$K$132*'Assignment Calc'!$L$5:$L$132*'Assignment Calc'!$M$5:$M$132))</f>
        <v>0</v>
      </c>
      <c r="AX4" s="26" t="n">
        <f aca="false">IF(WEEKDAY(AX$3,2)&gt;5,0,SUMPRODUCT(('Assignment Calc'!$D$5:$D$132=$A4)*('Assignment Calc'!$H$5:$H$132&lt;&gt;"")*('Assignment Calc'!$H$5:$H$132&lt;=AX$3)*('Assignment Calc'!$I$5:$I$132&gt;=AX$3)*'Assignment Calc'!$K$5:$K$132*'Assignment Calc'!$L$5:$L$132*'Assignment Calc'!$M$5:$M$132))</f>
        <v>0</v>
      </c>
      <c r="AY4" s="26" t="n">
        <f aca="false">IF(WEEKDAY(AY$3,2)&gt;5,0,SUMPRODUCT(('Assignment Calc'!$D$5:$D$132=$A4)*('Assignment Calc'!$H$5:$H$132&lt;&gt;"")*('Assignment Calc'!$H$5:$H$132&lt;=AY$3)*('Assignment Calc'!$I$5:$I$132&gt;=AY$3)*'Assignment Calc'!$K$5:$K$132*'Assignment Calc'!$L$5:$L$132*'Assignment Calc'!$M$5:$M$132))</f>
        <v>0</v>
      </c>
      <c r="AZ4" s="26" t="n">
        <f aca="false">IF(WEEKDAY(AZ$3,2)&gt;5,0,SUMPRODUCT(('Assignment Calc'!$D$5:$D$132=$A4)*('Assignment Calc'!$H$5:$H$132&lt;&gt;"")*('Assignment Calc'!$H$5:$H$132&lt;=AZ$3)*('Assignment Calc'!$I$5:$I$132&gt;=AZ$3)*'Assignment Calc'!$K$5:$K$132*'Assignment Calc'!$L$5:$L$132*'Assignment Calc'!$M$5:$M$132))</f>
        <v>0</v>
      </c>
      <c r="BA4" s="26" t="n">
        <f aca="false">IF(WEEKDAY(BA$3,2)&gt;5,0,SUMPRODUCT(('Assignment Calc'!$D$5:$D$132=$A4)*('Assignment Calc'!$H$5:$H$132&lt;&gt;"")*('Assignment Calc'!$H$5:$H$132&lt;=BA$3)*('Assignment Calc'!$I$5:$I$132&gt;=BA$3)*'Assignment Calc'!$K$5:$K$132*'Assignment Calc'!$L$5:$L$132*'Assignment Calc'!$M$5:$M$132))</f>
        <v>0</v>
      </c>
      <c r="BB4" s="26" t="n">
        <f aca="false">IF(WEEKDAY(BB$3,2)&gt;5,0,SUMPRODUCT(('Assignment Calc'!$D$5:$D$132=$A4)*('Assignment Calc'!$H$5:$H$132&lt;&gt;"")*('Assignment Calc'!$H$5:$H$132&lt;=BB$3)*('Assignment Calc'!$I$5:$I$132&gt;=BB$3)*'Assignment Calc'!$K$5:$K$132*'Assignment Calc'!$L$5:$L$132*'Assignment Calc'!$M$5:$M$132))</f>
        <v>0</v>
      </c>
      <c r="BC4" s="26" t="n">
        <f aca="false">IF(WEEKDAY(BC$3,2)&gt;5,0,SUMPRODUCT(('Assignment Calc'!$D$5:$D$132=$A4)*('Assignment Calc'!$H$5:$H$132&lt;&gt;"")*('Assignment Calc'!$H$5:$H$132&lt;=BC$3)*('Assignment Calc'!$I$5:$I$132&gt;=BC$3)*'Assignment Calc'!$K$5:$K$132*'Assignment Calc'!$L$5:$L$132*'Assignment Calc'!$M$5:$M$132))</f>
        <v>0</v>
      </c>
      <c r="BD4" s="26" t="n">
        <f aca="false">IF(WEEKDAY(BD$3,2)&gt;5,0,SUMPRODUCT(('Assignment Calc'!$D$5:$D$132=$A4)*('Assignment Calc'!$H$5:$H$132&lt;&gt;"")*('Assignment Calc'!$H$5:$H$132&lt;=BD$3)*('Assignment Calc'!$I$5:$I$132&gt;=BD$3)*'Assignment Calc'!$K$5:$K$132*'Assignment Calc'!$L$5:$L$132*'Assignment Calc'!$M$5:$M$132))</f>
        <v>5</v>
      </c>
      <c r="BE4" s="26" t="n">
        <f aca="false">IF(WEEKDAY(BE$3,2)&gt;5,0,SUMPRODUCT(('Assignment Calc'!$D$5:$D$132=$A4)*('Assignment Calc'!$H$5:$H$132&lt;&gt;"")*('Assignment Calc'!$H$5:$H$132&lt;=BE$3)*('Assignment Calc'!$I$5:$I$132&gt;=BE$3)*'Assignment Calc'!$K$5:$K$132*'Assignment Calc'!$L$5:$L$132*'Assignment Calc'!$M$5:$M$132))</f>
        <v>5</v>
      </c>
      <c r="BF4" s="26" t="n">
        <f aca="false">IF(WEEKDAY(BF$3,2)&gt;5,0,SUMPRODUCT(('Assignment Calc'!$D$5:$D$132=$A4)*('Assignment Calc'!$H$5:$H$132&lt;&gt;"")*('Assignment Calc'!$H$5:$H$132&lt;=BF$3)*('Assignment Calc'!$I$5:$I$132&gt;=BF$3)*'Assignment Calc'!$K$5:$K$132*'Assignment Calc'!$L$5:$L$132*'Assignment Calc'!$M$5:$M$132))</f>
        <v>5</v>
      </c>
      <c r="BG4" s="26" t="n">
        <f aca="false">IF(WEEKDAY(BG$3,2)&gt;5,0,SUMPRODUCT(('Assignment Calc'!$D$5:$D$132=$A4)*('Assignment Calc'!$H$5:$H$132&lt;&gt;"")*('Assignment Calc'!$H$5:$H$132&lt;=BG$3)*('Assignment Calc'!$I$5:$I$132&gt;=BG$3)*'Assignment Calc'!$K$5:$K$132*'Assignment Calc'!$L$5:$L$132*'Assignment Calc'!$M$5:$M$132))</f>
        <v>5</v>
      </c>
      <c r="BH4" s="26" t="n">
        <f aca="false">IF(WEEKDAY(BH$3,2)&gt;5,0,SUMPRODUCT(('Assignment Calc'!$D$5:$D$132=$A4)*('Assignment Calc'!$H$5:$H$132&lt;&gt;"")*('Assignment Calc'!$H$5:$H$132&lt;=BH$3)*('Assignment Calc'!$I$5:$I$132&gt;=BH$3)*'Assignment Calc'!$K$5:$K$132*'Assignment Calc'!$L$5:$L$132*'Assignment Calc'!$M$5:$M$132))</f>
        <v>5</v>
      </c>
      <c r="BI4" s="26" t="n">
        <f aca="false">IF(WEEKDAY(BI$3,2)&gt;5,0,SUMPRODUCT(('Assignment Calc'!$D$5:$D$132=$A4)*('Assignment Calc'!$H$5:$H$132&lt;&gt;"")*('Assignment Calc'!$H$5:$H$132&lt;=BI$3)*('Assignment Calc'!$I$5:$I$132&gt;=BI$3)*'Assignment Calc'!$K$5:$K$132*'Assignment Calc'!$L$5:$L$132*'Assignment Calc'!$M$5:$M$132))</f>
        <v>0</v>
      </c>
      <c r="BJ4" s="26" t="n">
        <f aca="false">IF(WEEKDAY(BJ$3,2)&gt;5,0,SUMPRODUCT(('Assignment Calc'!$D$5:$D$132=$A4)*('Assignment Calc'!$H$5:$H$132&lt;&gt;"")*('Assignment Calc'!$H$5:$H$132&lt;=BJ$3)*('Assignment Calc'!$I$5:$I$132&gt;=BJ$3)*'Assignment Calc'!$K$5:$K$132*'Assignment Calc'!$L$5:$L$132*'Assignment Calc'!$M$5:$M$132))</f>
        <v>0</v>
      </c>
      <c r="BK4" s="26" t="n">
        <f aca="false">IF(WEEKDAY(BK$3,2)&gt;5,0,SUMPRODUCT(('Assignment Calc'!$D$5:$D$132=$A4)*('Assignment Calc'!$H$5:$H$132&lt;&gt;"")*('Assignment Calc'!$H$5:$H$132&lt;=BK$3)*('Assignment Calc'!$I$5:$I$132&gt;=BK$3)*'Assignment Calc'!$K$5:$K$132*'Assignment Calc'!$L$5:$L$132*'Assignment Calc'!$M$5:$M$132))</f>
        <v>0</v>
      </c>
      <c r="BL4" s="26" t="n">
        <f aca="false">IF(WEEKDAY(BL$3,2)&gt;5,0,SUMPRODUCT(('Assignment Calc'!$D$5:$D$132=$A4)*('Assignment Calc'!$H$5:$H$132&lt;&gt;"")*('Assignment Calc'!$H$5:$H$132&lt;=BL$3)*('Assignment Calc'!$I$5:$I$132&gt;=BL$3)*'Assignment Calc'!$K$5:$K$132*'Assignment Calc'!$L$5:$L$132*'Assignment Calc'!$M$5:$M$132))</f>
        <v>0</v>
      </c>
      <c r="BM4" s="26" t="n">
        <f aca="false">IF(WEEKDAY(BM$3,2)&gt;5,0,SUMPRODUCT(('Assignment Calc'!$D$5:$D$132=$A4)*('Assignment Calc'!$H$5:$H$132&lt;&gt;"")*('Assignment Calc'!$H$5:$H$132&lt;=BM$3)*('Assignment Calc'!$I$5:$I$132&gt;=BM$3)*'Assignment Calc'!$K$5:$K$132*'Assignment Calc'!$L$5:$L$132*'Assignment Calc'!$M$5:$M$132))</f>
        <v>0</v>
      </c>
      <c r="BN4" s="26" t="n">
        <f aca="false">IF(WEEKDAY(BN$3,2)&gt;5,0,SUMPRODUCT(('Assignment Calc'!$D$5:$D$132=$A4)*('Assignment Calc'!$H$5:$H$132&lt;&gt;"")*('Assignment Calc'!$H$5:$H$132&lt;=BN$3)*('Assignment Calc'!$I$5:$I$132&gt;=BN$3)*'Assignment Calc'!$K$5:$K$132*'Assignment Calc'!$L$5:$L$132*'Assignment Calc'!$M$5:$M$132))</f>
        <v>0</v>
      </c>
      <c r="BO4" s="26" t="n">
        <f aca="false">IF(WEEKDAY(BO$3,2)&gt;5,0,SUMPRODUCT(('Assignment Calc'!$D$5:$D$132=$A4)*('Assignment Calc'!$H$5:$H$132&lt;&gt;"")*('Assignment Calc'!$H$5:$H$132&lt;=BO$3)*('Assignment Calc'!$I$5:$I$132&gt;=BO$3)*'Assignment Calc'!$K$5:$K$132*'Assignment Calc'!$L$5:$L$132*'Assignment Calc'!$M$5:$M$132))</f>
        <v>0</v>
      </c>
      <c r="BP4" s="26" t="n">
        <f aca="false">IF(WEEKDAY(BP$3,2)&gt;5,0,SUMPRODUCT(('Assignment Calc'!$D$5:$D$132=$A4)*('Assignment Calc'!$H$5:$H$132&lt;&gt;"")*('Assignment Calc'!$H$5:$H$132&lt;=BP$3)*('Assignment Calc'!$I$5:$I$132&gt;=BP$3)*'Assignment Calc'!$K$5:$K$132*'Assignment Calc'!$L$5:$L$132*'Assignment Calc'!$M$5:$M$132))</f>
        <v>0</v>
      </c>
      <c r="BQ4" s="26" t="n">
        <f aca="false">IF(WEEKDAY(BQ$3,2)&gt;5,0,SUMPRODUCT(('Assignment Calc'!$D$5:$D$132=$A4)*('Assignment Calc'!$H$5:$H$132&lt;&gt;"")*('Assignment Calc'!$H$5:$H$132&lt;=BQ$3)*('Assignment Calc'!$I$5:$I$132&gt;=BQ$3)*'Assignment Calc'!$K$5:$K$132*'Assignment Calc'!$L$5:$L$132*'Assignment Calc'!$M$5:$M$132))</f>
        <v>0</v>
      </c>
      <c r="BR4" s="26" t="n">
        <f aca="false">IF(WEEKDAY(BR$3,2)&gt;5,0,SUMPRODUCT(('Assignment Calc'!$D$5:$D$132=$A4)*('Assignment Calc'!$H$5:$H$132&lt;&gt;"")*('Assignment Calc'!$H$5:$H$132&lt;=BR$3)*('Assignment Calc'!$I$5:$I$132&gt;=BR$3)*'Assignment Calc'!$K$5:$K$132*'Assignment Calc'!$L$5:$L$132*'Assignment Calc'!$M$5:$M$132))</f>
        <v>0</v>
      </c>
      <c r="BS4" s="26" t="n">
        <f aca="false">IF(WEEKDAY(BS$3,2)&gt;5,0,SUMPRODUCT(('Assignment Calc'!$D$5:$D$132=$A4)*('Assignment Calc'!$H$5:$H$132&lt;&gt;"")*('Assignment Calc'!$H$5:$H$132&lt;=BS$3)*('Assignment Calc'!$I$5:$I$132&gt;=BS$3)*'Assignment Calc'!$K$5:$K$132*'Assignment Calc'!$L$5:$L$132*'Assignment Calc'!$M$5:$M$132))</f>
        <v>0</v>
      </c>
      <c r="BT4" s="26" t="n">
        <f aca="false">IF(WEEKDAY(BT$3,2)&gt;5,0,SUMPRODUCT(('Assignment Calc'!$D$5:$D$132=$A4)*('Assignment Calc'!$H$5:$H$132&lt;&gt;"")*('Assignment Calc'!$H$5:$H$132&lt;=BT$3)*('Assignment Calc'!$I$5:$I$132&gt;=BT$3)*'Assignment Calc'!$K$5:$K$132*'Assignment Calc'!$L$5:$L$132*'Assignment Calc'!$M$5:$M$132))</f>
        <v>0</v>
      </c>
      <c r="BU4" s="26" t="n">
        <f aca="false">IF(WEEKDAY(BU$3,2)&gt;5,0,SUMPRODUCT(('Assignment Calc'!$D$5:$D$132=$A4)*('Assignment Calc'!$H$5:$H$132&lt;&gt;"")*('Assignment Calc'!$H$5:$H$132&lt;=BU$3)*('Assignment Calc'!$I$5:$I$132&gt;=BU$3)*'Assignment Calc'!$K$5:$K$132*'Assignment Calc'!$L$5:$L$132*'Assignment Calc'!$M$5:$M$132))</f>
        <v>0</v>
      </c>
      <c r="BV4" s="26" t="n">
        <f aca="false">IF(WEEKDAY(BV$3,2)&gt;5,0,SUMPRODUCT(('Assignment Calc'!$D$5:$D$132=$A4)*('Assignment Calc'!$H$5:$H$132&lt;&gt;"")*('Assignment Calc'!$H$5:$H$132&lt;=BV$3)*('Assignment Calc'!$I$5:$I$132&gt;=BV$3)*'Assignment Calc'!$K$5:$K$132*'Assignment Calc'!$L$5:$L$132*'Assignment Calc'!$M$5:$M$132))</f>
        <v>0</v>
      </c>
      <c r="BW4" s="26" t="n">
        <f aca="false">IF(WEEKDAY(BW$3,2)&gt;5,0,SUMPRODUCT(('Assignment Calc'!$D$5:$D$132=$A4)*('Assignment Calc'!$H$5:$H$132&lt;&gt;"")*('Assignment Calc'!$H$5:$H$132&lt;=BW$3)*('Assignment Calc'!$I$5:$I$132&gt;=BW$3)*'Assignment Calc'!$K$5:$K$132*'Assignment Calc'!$L$5:$L$132*'Assignment Calc'!$M$5:$M$132))</f>
        <v>0</v>
      </c>
      <c r="BX4" s="26" t="n">
        <f aca="false">IF(WEEKDAY(BX$3,2)&gt;5,0,SUMPRODUCT(('Assignment Calc'!$D$5:$D$132=$A4)*('Assignment Calc'!$H$5:$H$132&lt;&gt;"")*('Assignment Calc'!$H$5:$H$132&lt;=BX$3)*('Assignment Calc'!$I$5:$I$132&gt;=BX$3)*'Assignment Calc'!$K$5:$K$132*'Assignment Calc'!$L$5:$L$132*'Assignment Calc'!$M$5:$M$132))</f>
        <v>0</v>
      </c>
      <c r="BY4" s="26" t="n">
        <f aca="false">IF(WEEKDAY(BY$3,2)&gt;5,0,SUMPRODUCT(('Assignment Calc'!$D$5:$D$132=$A4)*('Assignment Calc'!$H$5:$H$132&lt;&gt;"")*('Assignment Calc'!$H$5:$H$132&lt;=BY$3)*('Assignment Calc'!$I$5:$I$132&gt;=BY$3)*'Assignment Calc'!$K$5:$K$132*'Assignment Calc'!$L$5:$L$132*'Assignment Calc'!$M$5:$M$132))</f>
        <v>0</v>
      </c>
      <c r="BZ4" s="26" t="n">
        <f aca="false">IF(WEEKDAY(BZ$3,2)&gt;5,0,SUMPRODUCT(('Assignment Calc'!$D$5:$D$132=$A4)*('Assignment Calc'!$H$5:$H$132&lt;&gt;"")*('Assignment Calc'!$H$5:$H$132&lt;=BZ$3)*('Assignment Calc'!$I$5:$I$132&gt;=BZ$3)*'Assignment Calc'!$K$5:$K$132*'Assignment Calc'!$L$5:$L$132*'Assignment Calc'!$M$5:$M$132))</f>
        <v>0</v>
      </c>
      <c r="CA4" s="26" t="n">
        <f aca="false">IF(WEEKDAY(CA$3,2)&gt;5,0,SUMPRODUCT(('Assignment Calc'!$D$5:$D$132=$A4)*('Assignment Calc'!$H$5:$H$132&lt;&gt;"")*('Assignment Calc'!$H$5:$H$132&lt;=CA$3)*('Assignment Calc'!$I$5:$I$132&gt;=CA$3)*'Assignment Calc'!$K$5:$K$132*'Assignment Calc'!$L$5:$L$132*'Assignment Calc'!$M$5:$M$132))</f>
        <v>0</v>
      </c>
      <c r="CB4" s="26" t="n">
        <f aca="false">IF(WEEKDAY(CB$3,2)&gt;5,0,SUMPRODUCT(('Assignment Calc'!$D$5:$D$132=$A4)*('Assignment Calc'!$H$5:$H$132&lt;&gt;"")*('Assignment Calc'!$H$5:$H$132&lt;=CB$3)*('Assignment Calc'!$I$5:$I$132&gt;=CB$3)*'Assignment Calc'!$K$5:$K$132*'Assignment Calc'!$L$5:$L$132*'Assignment Calc'!$M$5:$M$132))</f>
        <v>0</v>
      </c>
      <c r="CC4" s="26" t="n">
        <f aca="false">IF(WEEKDAY(CC$3,2)&gt;5,0,SUMPRODUCT(('Assignment Calc'!$D$5:$D$132=$A4)*('Assignment Calc'!$H$5:$H$132&lt;&gt;"")*('Assignment Calc'!$H$5:$H$132&lt;=CC$3)*('Assignment Calc'!$I$5:$I$132&gt;=CC$3)*'Assignment Calc'!$K$5:$K$132*'Assignment Calc'!$L$5:$L$132*'Assignment Calc'!$M$5:$M$132))</f>
        <v>0</v>
      </c>
      <c r="CD4" s="26" t="n">
        <f aca="false">IF(WEEKDAY(CD$3,2)&gt;5,0,SUMPRODUCT(('Assignment Calc'!$D$5:$D$132=$A4)*('Assignment Calc'!$H$5:$H$132&lt;&gt;"")*('Assignment Calc'!$H$5:$H$132&lt;=CD$3)*('Assignment Calc'!$I$5:$I$132&gt;=CD$3)*'Assignment Calc'!$K$5:$K$132*'Assignment Calc'!$L$5:$L$132*'Assignment Calc'!$M$5:$M$132))</f>
        <v>0</v>
      </c>
      <c r="CE4" s="26" t="n">
        <f aca="false">IF(WEEKDAY(CE$3,2)&gt;5,0,SUMPRODUCT(('Assignment Calc'!$D$5:$D$132=$A4)*('Assignment Calc'!$H$5:$H$132&lt;&gt;"")*('Assignment Calc'!$H$5:$H$132&lt;=CE$3)*('Assignment Calc'!$I$5:$I$132&gt;=CE$3)*'Assignment Calc'!$K$5:$K$132*'Assignment Calc'!$L$5:$L$132*'Assignment Calc'!$M$5:$M$132))</f>
        <v>0</v>
      </c>
      <c r="CF4" s="26" t="n">
        <f aca="false">IF(WEEKDAY(CF$3,2)&gt;5,0,SUMPRODUCT(('Assignment Calc'!$D$5:$D$132=$A4)*('Assignment Calc'!$H$5:$H$132&lt;&gt;"")*('Assignment Calc'!$H$5:$H$132&lt;=CF$3)*('Assignment Calc'!$I$5:$I$132&gt;=CF$3)*'Assignment Calc'!$K$5:$K$132*'Assignment Calc'!$L$5:$L$132*'Assignment Calc'!$M$5:$M$132))</f>
        <v>0</v>
      </c>
      <c r="CG4" s="26" t="n">
        <f aca="false">IF(WEEKDAY(CG$3,2)&gt;5,0,SUMPRODUCT(('Assignment Calc'!$D$5:$D$132=$A4)*('Assignment Calc'!$H$5:$H$132&lt;&gt;"")*('Assignment Calc'!$H$5:$H$132&lt;=CG$3)*('Assignment Calc'!$I$5:$I$132&gt;=CG$3)*'Assignment Calc'!$K$5:$K$132*'Assignment Calc'!$L$5:$L$132*'Assignment Calc'!$M$5:$M$132))</f>
        <v>0</v>
      </c>
      <c r="CH4" s="26" t="n">
        <f aca="false">IF(WEEKDAY(CH$3,2)&gt;5,0,SUMPRODUCT(('Assignment Calc'!$D$5:$D$132=$A4)*('Assignment Calc'!$H$5:$H$132&lt;&gt;"")*('Assignment Calc'!$H$5:$H$132&lt;=CH$3)*('Assignment Calc'!$I$5:$I$132&gt;=CH$3)*'Assignment Calc'!$K$5:$K$132*'Assignment Calc'!$L$5:$L$132*'Assignment Calc'!$M$5:$M$132))</f>
        <v>0</v>
      </c>
      <c r="CI4" s="26" t="n">
        <f aca="false">IF(WEEKDAY(CI$3,2)&gt;5,0,SUMPRODUCT(('Assignment Calc'!$D$5:$D$132=$A4)*('Assignment Calc'!$H$5:$H$132&lt;&gt;"")*('Assignment Calc'!$H$5:$H$132&lt;=CI$3)*('Assignment Calc'!$I$5:$I$132&gt;=CI$3)*'Assignment Calc'!$K$5:$K$132*'Assignment Calc'!$L$5:$L$132*'Assignment Calc'!$M$5:$M$132))</f>
        <v>0</v>
      </c>
      <c r="CJ4" s="26" t="n">
        <f aca="false">IF(WEEKDAY(CJ$3,2)&gt;5,0,SUMPRODUCT(('Assignment Calc'!$D$5:$D$132=$A4)*('Assignment Calc'!$H$5:$H$132&lt;&gt;"")*('Assignment Calc'!$H$5:$H$132&lt;=CJ$3)*('Assignment Calc'!$I$5:$I$132&gt;=CJ$3)*'Assignment Calc'!$K$5:$K$132*'Assignment Calc'!$L$5:$L$132*'Assignment Calc'!$M$5:$M$132))</f>
        <v>0</v>
      </c>
      <c r="CK4" s="26" t="n">
        <f aca="false">IF(WEEKDAY(CK$3,2)&gt;5,0,SUMPRODUCT(('Assignment Calc'!$D$5:$D$132=$A4)*('Assignment Calc'!$H$5:$H$132&lt;&gt;"")*('Assignment Calc'!$H$5:$H$132&lt;=CK$3)*('Assignment Calc'!$I$5:$I$132&gt;=CK$3)*'Assignment Calc'!$K$5:$K$132*'Assignment Calc'!$L$5:$L$132*'Assignment Calc'!$M$5:$M$132))</f>
        <v>0</v>
      </c>
      <c r="CL4" s="26" t="n">
        <f aca="false">IF(WEEKDAY(CL$3,2)&gt;5,0,SUMPRODUCT(('Assignment Calc'!$D$5:$D$132=$A4)*('Assignment Calc'!$H$5:$H$132&lt;&gt;"")*('Assignment Calc'!$H$5:$H$132&lt;=CL$3)*('Assignment Calc'!$I$5:$I$132&gt;=CL$3)*'Assignment Calc'!$K$5:$K$132*'Assignment Calc'!$L$5:$L$132*'Assignment Calc'!$M$5:$M$132))</f>
        <v>0</v>
      </c>
      <c r="CM4" s="26" t="n">
        <f aca="false">IF(WEEKDAY(CM$3,2)&gt;5,0,SUMPRODUCT(('Assignment Calc'!$D$5:$D$132=$A4)*('Assignment Calc'!$H$5:$H$132&lt;&gt;"")*('Assignment Calc'!$H$5:$H$132&lt;=CM$3)*('Assignment Calc'!$I$5:$I$132&gt;=CM$3)*'Assignment Calc'!$K$5:$K$132*'Assignment Calc'!$L$5:$L$132*'Assignment Calc'!$M$5:$M$132))</f>
        <v>0</v>
      </c>
      <c r="CN4" s="26" t="n">
        <f aca="false">IF(WEEKDAY(CN$3,2)&gt;5,0,SUMPRODUCT(('Assignment Calc'!$D$5:$D$132=$A4)*('Assignment Calc'!$H$5:$H$132&lt;&gt;"")*('Assignment Calc'!$H$5:$H$132&lt;=CN$3)*('Assignment Calc'!$I$5:$I$132&gt;=CN$3)*'Assignment Calc'!$K$5:$K$132*'Assignment Calc'!$L$5:$L$132*'Assignment Calc'!$M$5:$M$132))</f>
        <v>0</v>
      </c>
      <c r="CO4" s="26" t="n">
        <f aca="false">IF(WEEKDAY(CO$3,2)&gt;5,0,SUMPRODUCT(('Assignment Calc'!$D$5:$D$132=$A4)*('Assignment Calc'!$H$5:$H$132&lt;&gt;"")*('Assignment Calc'!$H$5:$H$132&lt;=CO$3)*('Assignment Calc'!$I$5:$I$132&gt;=CO$3)*'Assignment Calc'!$K$5:$K$132*'Assignment Calc'!$L$5:$L$132*'Assignment Calc'!$M$5:$M$132))</f>
        <v>0</v>
      </c>
      <c r="CP4" s="26" t="n">
        <f aca="false">IF(WEEKDAY(CP$3,2)&gt;5,0,SUMPRODUCT(('Assignment Calc'!$D$5:$D$132=$A4)*('Assignment Calc'!$H$5:$H$132&lt;&gt;"")*('Assignment Calc'!$H$5:$H$132&lt;=CP$3)*('Assignment Calc'!$I$5:$I$132&gt;=CP$3)*'Assignment Calc'!$K$5:$K$132*'Assignment Calc'!$L$5:$L$132*'Assignment Calc'!$M$5:$M$132))</f>
        <v>0</v>
      </c>
    </row>
    <row r="5" customFormat="false" ht="15" hidden="false" customHeight="true" outlineLevel="0" collapsed="false">
      <c r="A5" s="2" t="s">
        <v>94</v>
      </c>
      <c r="B5" s="23" t="n">
        <f aca="false">SUM(C5:CP5)</f>
        <v>146.25</v>
      </c>
      <c r="C5" s="26" t="n">
        <f aca="false">IF(WEEKDAY(C$3,2)&gt;5,0,SUMPRODUCT(('Assignment Calc'!$D$5:$D$132=$A5)*('Assignment Calc'!$H$5:$H$132&lt;&gt;"")*('Assignment Calc'!$H$5:$H$132&lt;=C$3)*('Assignment Calc'!$I$5:$I$132&gt;=C$3)*'Assignment Calc'!$K$5:$K$132*'Assignment Calc'!$L$5:$L$132*'Assignment Calc'!$M$5:$M$132))</f>
        <v>0</v>
      </c>
      <c r="D5" s="26" t="n">
        <f aca="false">IF(WEEKDAY(D$3,2)&gt;5,0,SUMPRODUCT(('Assignment Calc'!$D$5:$D$132=$A5)*('Assignment Calc'!$H$5:$H$132&lt;&gt;"")*('Assignment Calc'!$H$5:$H$132&lt;=D$3)*('Assignment Calc'!$I$5:$I$132&gt;=D$3)*'Assignment Calc'!$K$5:$K$132*'Assignment Calc'!$L$5:$L$132*'Assignment Calc'!$M$5:$M$132))</f>
        <v>0</v>
      </c>
      <c r="E5" s="26" t="n">
        <f aca="false">IF(WEEKDAY(E$3,2)&gt;5,0,SUMPRODUCT(('Assignment Calc'!$D$5:$D$132=$A5)*('Assignment Calc'!$H$5:$H$132&lt;&gt;"")*('Assignment Calc'!$H$5:$H$132&lt;=E$3)*('Assignment Calc'!$I$5:$I$132&gt;=E$3)*'Assignment Calc'!$K$5:$K$132*'Assignment Calc'!$L$5:$L$132*'Assignment Calc'!$M$5:$M$132))</f>
        <v>0</v>
      </c>
      <c r="F5" s="26" t="n">
        <f aca="false">IF(WEEKDAY(F$3,2)&gt;5,0,SUMPRODUCT(('Assignment Calc'!$D$5:$D$132=$A5)*('Assignment Calc'!$H$5:$H$132&lt;&gt;"")*('Assignment Calc'!$H$5:$H$132&lt;=F$3)*('Assignment Calc'!$I$5:$I$132&gt;=F$3)*'Assignment Calc'!$K$5:$K$132*'Assignment Calc'!$L$5:$L$132*'Assignment Calc'!$M$5:$M$132))</f>
        <v>0</v>
      </c>
      <c r="G5" s="26" t="n">
        <f aca="false">IF(WEEKDAY(G$3,2)&gt;5,0,SUMPRODUCT(('Assignment Calc'!$D$5:$D$132=$A5)*('Assignment Calc'!$H$5:$H$132&lt;&gt;"")*('Assignment Calc'!$H$5:$H$132&lt;=G$3)*('Assignment Calc'!$I$5:$I$132&gt;=G$3)*'Assignment Calc'!$K$5:$K$132*'Assignment Calc'!$L$5:$L$132*'Assignment Calc'!$M$5:$M$132))</f>
        <v>0</v>
      </c>
      <c r="H5" s="26" t="n">
        <f aca="false">IF(WEEKDAY(H$3,2)&gt;5,0,SUMPRODUCT(('Assignment Calc'!$D$5:$D$132=$A5)*('Assignment Calc'!$H$5:$H$132&lt;&gt;"")*('Assignment Calc'!$H$5:$H$132&lt;=H$3)*('Assignment Calc'!$I$5:$I$132&gt;=H$3)*'Assignment Calc'!$K$5:$K$132*'Assignment Calc'!$L$5:$L$132*'Assignment Calc'!$M$5:$M$132))</f>
        <v>0</v>
      </c>
      <c r="I5" s="26" t="n">
        <f aca="false">IF(WEEKDAY(I$3,2)&gt;5,0,SUMPRODUCT(('Assignment Calc'!$D$5:$D$132=$A5)*('Assignment Calc'!$H$5:$H$132&lt;&gt;"")*('Assignment Calc'!$H$5:$H$132&lt;=I$3)*('Assignment Calc'!$I$5:$I$132&gt;=I$3)*'Assignment Calc'!$K$5:$K$132*'Assignment Calc'!$L$5:$L$132*'Assignment Calc'!$M$5:$M$132))</f>
        <v>0</v>
      </c>
      <c r="J5" s="26" t="n">
        <f aca="false">IF(WEEKDAY(J$3,2)&gt;5,0,SUMPRODUCT(('Assignment Calc'!$D$5:$D$132=$A5)*('Assignment Calc'!$H$5:$H$132&lt;&gt;"")*('Assignment Calc'!$H$5:$H$132&lt;=J$3)*('Assignment Calc'!$I$5:$I$132&gt;=J$3)*'Assignment Calc'!$K$5:$K$132*'Assignment Calc'!$L$5:$L$132*'Assignment Calc'!$M$5:$M$132))</f>
        <v>0</v>
      </c>
      <c r="K5" s="26" t="n">
        <f aca="false">IF(WEEKDAY(K$3,2)&gt;5,0,SUMPRODUCT(('Assignment Calc'!$D$5:$D$132=$A5)*('Assignment Calc'!$H$5:$H$132&lt;&gt;"")*('Assignment Calc'!$H$5:$H$132&lt;=K$3)*('Assignment Calc'!$I$5:$I$132&gt;=K$3)*'Assignment Calc'!$K$5:$K$132*'Assignment Calc'!$L$5:$L$132*'Assignment Calc'!$M$5:$M$132))</f>
        <v>0</v>
      </c>
      <c r="L5" s="26" t="n">
        <f aca="false">IF(WEEKDAY(L$3,2)&gt;5,0,SUMPRODUCT(('Assignment Calc'!$D$5:$D$132=$A5)*('Assignment Calc'!$H$5:$H$132&lt;&gt;"")*('Assignment Calc'!$H$5:$H$132&lt;=L$3)*('Assignment Calc'!$I$5:$I$132&gt;=L$3)*'Assignment Calc'!$K$5:$K$132*'Assignment Calc'!$L$5:$L$132*'Assignment Calc'!$M$5:$M$132))</f>
        <v>0</v>
      </c>
      <c r="M5" s="26" t="n">
        <f aca="false">IF(WEEKDAY(M$3,2)&gt;5,0,SUMPRODUCT(('Assignment Calc'!$D$5:$D$132=$A5)*('Assignment Calc'!$H$5:$H$132&lt;&gt;"")*('Assignment Calc'!$H$5:$H$132&lt;=M$3)*('Assignment Calc'!$I$5:$I$132&gt;=M$3)*'Assignment Calc'!$K$5:$K$132*'Assignment Calc'!$L$5:$L$132*'Assignment Calc'!$M$5:$M$132))</f>
        <v>0</v>
      </c>
      <c r="N5" s="26" t="n">
        <f aca="false">IF(WEEKDAY(N$3,2)&gt;5,0,SUMPRODUCT(('Assignment Calc'!$D$5:$D$132=$A5)*('Assignment Calc'!$H$5:$H$132&lt;&gt;"")*('Assignment Calc'!$H$5:$H$132&lt;=N$3)*('Assignment Calc'!$I$5:$I$132&gt;=N$3)*'Assignment Calc'!$K$5:$K$132*'Assignment Calc'!$L$5:$L$132*'Assignment Calc'!$M$5:$M$132))</f>
        <v>2.25</v>
      </c>
      <c r="O5" s="26" t="n">
        <f aca="false">IF(WEEKDAY(O$3,2)&gt;5,0,SUMPRODUCT(('Assignment Calc'!$D$5:$D$132=$A5)*('Assignment Calc'!$H$5:$H$132&lt;&gt;"")*('Assignment Calc'!$H$5:$H$132&lt;=O$3)*('Assignment Calc'!$I$5:$I$132&gt;=O$3)*'Assignment Calc'!$K$5:$K$132*'Assignment Calc'!$L$5:$L$132*'Assignment Calc'!$M$5:$M$132))</f>
        <v>2.25</v>
      </c>
      <c r="P5" s="26" t="n">
        <f aca="false">IF(WEEKDAY(P$3,2)&gt;5,0,SUMPRODUCT(('Assignment Calc'!$D$5:$D$132=$A5)*('Assignment Calc'!$H$5:$H$132&lt;&gt;"")*('Assignment Calc'!$H$5:$H$132&lt;=P$3)*('Assignment Calc'!$I$5:$I$132&gt;=P$3)*'Assignment Calc'!$K$5:$K$132*'Assignment Calc'!$L$5:$L$132*'Assignment Calc'!$M$5:$M$132))</f>
        <v>2.25</v>
      </c>
      <c r="Q5" s="26" t="n">
        <f aca="false">IF(WEEKDAY(Q$3,2)&gt;5,0,SUMPRODUCT(('Assignment Calc'!$D$5:$D$132=$A5)*('Assignment Calc'!$H$5:$H$132&lt;&gt;"")*('Assignment Calc'!$H$5:$H$132&lt;=Q$3)*('Assignment Calc'!$I$5:$I$132&gt;=Q$3)*'Assignment Calc'!$K$5:$K$132*'Assignment Calc'!$L$5:$L$132*'Assignment Calc'!$M$5:$M$132))</f>
        <v>2.25</v>
      </c>
      <c r="R5" s="26" t="n">
        <f aca="false">IF(WEEKDAY(R$3,2)&gt;5,0,SUMPRODUCT(('Assignment Calc'!$D$5:$D$132=$A5)*('Assignment Calc'!$H$5:$H$132&lt;&gt;"")*('Assignment Calc'!$H$5:$H$132&lt;=R$3)*('Assignment Calc'!$I$5:$I$132&gt;=R$3)*'Assignment Calc'!$K$5:$K$132*'Assignment Calc'!$L$5:$L$132*'Assignment Calc'!$M$5:$M$132))</f>
        <v>2.25</v>
      </c>
      <c r="S5" s="26" t="n">
        <f aca="false">IF(WEEKDAY(S$3,2)&gt;5,0,SUMPRODUCT(('Assignment Calc'!$D$5:$D$132=$A5)*('Assignment Calc'!$H$5:$H$132&lt;&gt;"")*('Assignment Calc'!$H$5:$H$132&lt;=S$3)*('Assignment Calc'!$I$5:$I$132&gt;=S$3)*'Assignment Calc'!$K$5:$K$132*'Assignment Calc'!$L$5:$L$132*'Assignment Calc'!$M$5:$M$132))</f>
        <v>0</v>
      </c>
      <c r="T5" s="26" t="n">
        <f aca="false">IF(WEEKDAY(T$3,2)&gt;5,0,SUMPRODUCT(('Assignment Calc'!$D$5:$D$132=$A5)*('Assignment Calc'!$H$5:$H$132&lt;&gt;"")*('Assignment Calc'!$H$5:$H$132&lt;=T$3)*('Assignment Calc'!$I$5:$I$132&gt;=T$3)*'Assignment Calc'!$K$5:$K$132*'Assignment Calc'!$L$5:$L$132*'Assignment Calc'!$M$5:$M$132))</f>
        <v>0</v>
      </c>
      <c r="U5" s="26" t="n">
        <f aca="false">IF(WEEKDAY(U$3,2)&gt;5,0,SUMPRODUCT(('Assignment Calc'!$D$5:$D$132=$A5)*('Assignment Calc'!$H$5:$H$132&lt;&gt;"")*('Assignment Calc'!$H$5:$H$132&lt;=U$3)*('Assignment Calc'!$I$5:$I$132&gt;=U$3)*'Assignment Calc'!$K$5:$K$132*'Assignment Calc'!$L$5:$L$132*'Assignment Calc'!$M$5:$M$132))</f>
        <v>0</v>
      </c>
      <c r="V5" s="26" t="n">
        <f aca="false">IF(WEEKDAY(V$3,2)&gt;5,0,SUMPRODUCT(('Assignment Calc'!$D$5:$D$132=$A5)*('Assignment Calc'!$H$5:$H$132&lt;&gt;"")*('Assignment Calc'!$H$5:$H$132&lt;=V$3)*('Assignment Calc'!$I$5:$I$132&gt;=V$3)*'Assignment Calc'!$K$5:$K$132*'Assignment Calc'!$L$5:$L$132*'Assignment Calc'!$M$5:$M$132))</f>
        <v>0</v>
      </c>
      <c r="W5" s="26" t="n">
        <f aca="false">IF(WEEKDAY(W$3,2)&gt;5,0,SUMPRODUCT(('Assignment Calc'!$D$5:$D$132=$A5)*('Assignment Calc'!$H$5:$H$132&lt;&gt;"")*('Assignment Calc'!$H$5:$H$132&lt;=W$3)*('Assignment Calc'!$I$5:$I$132&gt;=W$3)*'Assignment Calc'!$K$5:$K$132*'Assignment Calc'!$L$5:$L$132*'Assignment Calc'!$M$5:$M$132))</f>
        <v>0</v>
      </c>
      <c r="X5" s="26" t="n">
        <f aca="false">IF(WEEKDAY(X$3,2)&gt;5,0,SUMPRODUCT(('Assignment Calc'!$D$5:$D$132=$A5)*('Assignment Calc'!$H$5:$H$132&lt;&gt;"")*('Assignment Calc'!$H$5:$H$132&lt;=X$3)*('Assignment Calc'!$I$5:$I$132&gt;=X$3)*'Assignment Calc'!$K$5:$K$132*'Assignment Calc'!$L$5:$L$132*'Assignment Calc'!$M$5:$M$132))</f>
        <v>0</v>
      </c>
      <c r="Y5" s="26" t="n">
        <f aca="false">IF(WEEKDAY(Y$3,2)&gt;5,0,SUMPRODUCT(('Assignment Calc'!$D$5:$D$132=$A5)*('Assignment Calc'!$H$5:$H$132&lt;&gt;"")*('Assignment Calc'!$H$5:$H$132&lt;=Y$3)*('Assignment Calc'!$I$5:$I$132&gt;=Y$3)*'Assignment Calc'!$K$5:$K$132*'Assignment Calc'!$L$5:$L$132*'Assignment Calc'!$M$5:$M$132))</f>
        <v>0</v>
      </c>
      <c r="Z5" s="26" t="n">
        <f aca="false">IF(WEEKDAY(Z$3,2)&gt;5,0,SUMPRODUCT(('Assignment Calc'!$D$5:$D$132=$A5)*('Assignment Calc'!$H$5:$H$132&lt;&gt;"")*('Assignment Calc'!$H$5:$H$132&lt;=Z$3)*('Assignment Calc'!$I$5:$I$132&gt;=Z$3)*'Assignment Calc'!$K$5:$K$132*'Assignment Calc'!$L$5:$L$132*'Assignment Calc'!$M$5:$M$132))</f>
        <v>0</v>
      </c>
      <c r="AA5" s="26" t="n">
        <f aca="false">IF(WEEKDAY(AA$3,2)&gt;5,0,SUMPRODUCT(('Assignment Calc'!$D$5:$D$132=$A5)*('Assignment Calc'!$H$5:$H$132&lt;&gt;"")*('Assignment Calc'!$H$5:$H$132&lt;=AA$3)*('Assignment Calc'!$I$5:$I$132&gt;=AA$3)*'Assignment Calc'!$K$5:$K$132*'Assignment Calc'!$L$5:$L$132*'Assignment Calc'!$M$5:$M$132))</f>
        <v>0</v>
      </c>
      <c r="AB5" s="26" t="n">
        <f aca="false">IF(WEEKDAY(AB$3,2)&gt;5,0,SUMPRODUCT(('Assignment Calc'!$D$5:$D$132=$A5)*('Assignment Calc'!$H$5:$H$132&lt;&gt;"")*('Assignment Calc'!$H$5:$H$132&lt;=AB$3)*('Assignment Calc'!$I$5:$I$132&gt;=AB$3)*'Assignment Calc'!$K$5:$K$132*'Assignment Calc'!$L$5:$L$132*'Assignment Calc'!$M$5:$M$132))</f>
        <v>13.5</v>
      </c>
      <c r="AC5" s="26" t="n">
        <f aca="false">IF(WEEKDAY(AC$3,2)&gt;5,0,SUMPRODUCT(('Assignment Calc'!$D$5:$D$132=$A5)*('Assignment Calc'!$H$5:$H$132&lt;&gt;"")*('Assignment Calc'!$H$5:$H$132&lt;=AC$3)*('Assignment Calc'!$I$5:$I$132&gt;=AC$3)*'Assignment Calc'!$K$5:$K$132*'Assignment Calc'!$L$5:$L$132*'Assignment Calc'!$M$5:$M$132))</f>
        <v>13.5</v>
      </c>
      <c r="AD5" s="26" t="n">
        <f aca="false">IF(WEEKDAY(AD$3,2)&gt;5,0,SUMPRODUCT(('Assignment Calc'!$D$5:$D$132=$A5)*('Assignment Calc'!$H$5:$H$132&lt;&gt;"")*('Assignment Calc'!$H$5:$H$132&lt;=AD$3)*('Assignment Calc'!$I$5:$I$132&gt;=AD$3)*'Assignment Calc'!$K$5:$K$132*'Assignment Calc'!$L$5:$L$132*'Assignment Calc'!$M$5:$M$132))</f>
        <v>13.5</v>
      </c>
      <c r="AE5" s="26" t="n">
        <f aca="false">IF(WEEKDAY(AE$3,2)&gt;5,0,SUMPRODUCT(('Assignment Calc'!$D$5:$D$132=$A5)*('Assignment Calc'!$H$5:$H$132&lt;&gt;"")*('Assignment Calc'!$H$5:$H$132&lt;=AE$3)*('Assignment Calc'!$I$5:$I$132&gt;=AE$3)*'Assignment Calc'!$K$5:$K$132*'Assignment Calc'!$L$5:$L$132*'Assignment Calc'!$M$5:$M$132))</f>
        <v>13.5</v>
      </c>
      <c r="AF5" s="26" t="n">
        <f aca="false">IF(WEEKDAY(AF$3,2)&gt;5,0,SUMPRODUCT(('Assignment Calc'!$D$5:$D$132=$A5)*('Assignment Calc'!$H$5:$H$132&lt;&gt;"")*('Assignment Calc'!$H$5:$H$132&lt;=AF$3)*('Assignment Calc'!$I$5:$I$132&gt;=AF$3)*'Assignment Calc'!$K$5:$K$132*'Assignment Calc'!$L$5:$L$132*'Assignment Calc'!$M$5:$M$132))</f>
        <v>13.5</v>
      </c>
      <c r="AG5" s="26" t="n">
        <f aca="false">IF(WEEKDAY(AG$3,2)&gt;5,0,SUMPRODUCT(('Assignment Calc'!$D$5:$D$132=$A5)*('Assignment Calc'!$H$5:$H$132&lt;&gt;"")*('Assignment Calc'!$H$5:$H$132&lt;=AG$3)*('Assignment Calc'!$I$5:$I$132&gt;=AG$3)*'Assignment Calc'!$K$5:$K$132*'Assignment Calc'!$L$5:$L$132*'Assignment Calc'!$M$5:$M$132))</f>
        <v>0</v>
      </c>
      <c r="AH5" s="26" t="n">
        <f aca="false">IF(WEEKDAY(AH$3,2)&gt;5,0,SUMPRODUCT(('Assignment Calc'!$D$5:$D$132=$A5)*('Assignment Calc'!$H$5:$H$132&lt;&gt;"")*('Assignment Calc'!$H$5:$H$132&lt;=AH$3)*('Assignment Calc'!$I$5:$I$132&gt;=AH$3)*'Assignment Calc'!$K$5:$K$132*'Assignment Calc'!$L$5:$L$132*'Assignment Calc'!$M$5:$M$132))</f>
        <v>0</v>
      </c>
      <c r="AI5" s="26" t="n">
        <f aca="false">IF(WEEKDAY(AI$3,2)&gt;5,0,SUMPRODUCT(('Assignment Calc'!$D$5:$D$132=$A5)*('Assignment Calc'!$H$5:$H$132&lt;&gt;"")*('Assignment Calc'!$H$5:$H$132&lt;=AI$3)*('Assignment Calc'!$I$5:$I$132&gt;=AI$3)*'Assignment Calc'!$K$5:$K$132*'Assignment Calc'!$L$5:$L$132*'Assignment Calc'!$M$5:$M$132))</f>
        <v>0</v>
      </c>
      <c r="AJ5" s="26" t="n">
        <f aca="false">IF(WEEKDAY(AJ$3,2)&gt;5,0,SUMPRODUCT(('Assignment Calc'!$D$5:$D$132=$A5)*('Assignment Calc'!$H$5:$H$132&lt;&gt;"")*('Assignment Calc'!$H$5:$H$132&lt;=AJ$3)*('Assignment Calc'!$I$5:$I$132&gt;=AJ$3)*'Assignment Calc'!$K$5:$K$132*'Assignment Calc'!$L$5:$L$132*'Assignment Calc'!$M$5:$M$132))</f>
        <v>0</v>
      </c>
      <c r="AK5" s="26" t="n">
        <f aca="false">IF(WEEKDAY(AK$3,2)&gt;5,0,SUMPRODUCT(('Assignment Calc'!$D$5:$D$132=$A5)*('Assignment Calc'!$H$5:$H$132&lt;&gt;"")*('Assignment Calc'!$H$5:$H$132&lt;=AK$3)*('Assignment Calc'!$I$5:$I$132&gt;=AK$3)*'Assignment Calc'!$K$5:$K$132*'Assignment Calc'!$L$5:$L$132*'Assignment Calc'!$M$5:$M$132))</f>
        <v>0</v>
      </c>
      <c r="AL5" s="26" t="n">
        <f aca="false">IF(WEEKDAY(AL$3,2)&gt;5,0,SUMPRODUCT(('Assignment Calc'!$D$5:$D$132=$A5)*('Assignment Calc'!$H$5:$H$132&lt;&gt;"")*('Assignment Calc'!$H$5:$H$132&lt;=AL$3)*('Assignment Calc'!$I$5:$I$132&gt;=AL$3)*'Assignment Calc'!$K$5:$K$132*'Assignment Calc'!$L$5:$L$132*'Assignment Calc'!$M$5:$M$132))</f>
        <v>0</v>
      </c>
      <c r="AM5" s="26" t="n">
        <f aca="false">IF(WEEKDAY(AM$3,2)&gt;5,0,SUMPRODUCT(('Assignment Calc'!$D$5:$D$132=$A5)*('Assignment Calc'!$H$5:$H$132&lt;&gt;"")*('Assignment Calc'!$H$5:$H$132&lt;=AM$3)*('Assignment Calc'!$I$5:$I$132&gt;=AM$3)*'Assignment Calc'!$K$5:$K$132*'Assignment Calc'!$L$5:$L$132*'Assignment Calc'!$M$5:$M$132))</f>
        <v>0</v>
      </c>
      <c r="AN5" s="26" t="n">
        <f aca="false">IF(WEEKDAY(AN$3,2)&gt;5,0,SUMPRODUCT(('Assignment Calc'!$D$5:$D$132=$A5)*('Assignment Calc'!$H$5:$H$132&lt;&gt;"")*('Assignment Calc'!$H$5:$H$132&lt;=AN$3)*('Assignment Calc'!$I$5:$I$132&gt;=AN$3)*'Assignment Calc'!$K$5:$K$132*'Assignment Calc'!$L$5:$L$132*'Assignment Calc'!$M$5:$M$132))</f>
        <v>0</v>
      </c>
      <c r="AO5" s="26" t="n">
        <f aca="false">IF(WEEKDAY(AO$3,2)&gt;5,0,SUMPRODUCT(('Assignment Calc'!$D$5:$D$132=$A5)*('Assignment Calc'!$H$5:$H$132&lt;&gt;"")*('Assignment Calc'!$H$5:$H$132&lt;=AO$3)*('Assignment Calc'!$I$5:$I$132&gt;=AO$3)*'Assignment Calc'!$K$5:$K$132*'Assignment Calc'!$L$5:$L$132*'Assignment Calc'!$M$5:$M$132))</f>
        <v>0</v>
      </c>
      <c r="AP5" s="26" t="n">
        <f aca="false">IF(WEEKDAY(AP$3,2)&gt;5,0,SUMPRODUCT(('Assignment Calc'!$D$5:$D$132=$A5)*('Assignment Calc'!$H$5:$H$132&lt;&gt;"")*('Assignment Calc'!$H$5:$H$132&lt;=AP$3)*('Assignment Calc'!$I$5:$I$132&gt;=AP$3)*'Assignment Calc'!$K$5:$K$132*'Assignment Calc'!$L$5:$L$132*'Assignment Calc'!$M$5:$M$132))</f>
        <v>0</v>
      </c>
      <c r="AQ5" s="26" t="n">
        <f aca="false">IF(WEEKDAY(AQ$3,2)&gt;5,0,SUMPRODUCT(('Assignment Calc'!$D$5:$D$132=$A5)*('Assignment Calc'!$H$5:$H$132&lt;&gt;"")*('Assignment Calc'!$H$5:$H$132&lt;=AQ$3)*('Assignment Calc'!$I$5:$I$132&gt;=AQ$3)*'Assignment Calc'!$K$5:$K$132*'Assignment Calc'!$L$5:$L$132*'Assignment Calc'!$M$5:$M$132))</f>
        <v>0</v>
      </c>
      <c r="AR5" s="26" t="n">
        <f aca="false">IF(WEEKDAY(AR$3,2)&gt;5,0,SUMPRODUCT(('Assignment Calc'!$D$5:$D$132=$A5)*('Assignment Calc'!$H$5:$H$132&lt;&gt;"")*('Assignment Calc'!$H$5:$H$132&lt;=AR$3)*('Assignment Calc'!$I$5:$I$132&gt;=AR$3)*'Assignment Calc'!$K$5:$K$132*'Assignment Calc'!$L$5:$L$132*'Assignment Calc'!$M$5:$M$132))</f>
        <v>0</v>
      </c>
      <c r="AS5" s="26" t="n">
        <f aca="false">IF(WEEKDAY(AS$3,2)&gt;5,0,SUMPRODUCT(('Assignment Calc'!$D$5:$D$132=$A5)*('Assignment Calc'!$H$5:$H$132&lt;&gt;"")*('Assignment Calc'!$H$5:$H$132&lt;=AS$3)*('Assignment Calc'!$I$5:$I$132&gt;=AS$3)*'Assignment Calc'!$K$5:$K$132*'Assignment Calc'!$L$5:$L$132*'Assignment Calc'!$M$5:$M$132))</f>
        <v>0</v>
      </c>
      <c r="AT5" s="26" t="n">
        <f aca="false">IF(WEEKDAY(AT$3,2)&gt;5,0,SUMPRODUCT(('Assignment Calc'!$D$5:$D$132=$A5)*('Assignment Calc'!$H$5:$H$132&lt;&gt;"")*('Assignment Calc'!$H$5:$H$132&lt;=AT$3)*('Assignment Calc'!$I$5:$I$132&gt;=AT$3)*'Assignment Calc'!$K$5:$K$132*'Assignment Calc'!$L$5:$L$132*'Assignment Calc'!$M$5:$M$132))</f>
        <v>0</v>
      </c>
      <c r="AU5" s="26" t="n">
        <f aca="false">IF(WEEKDAY(AU$3,2)&gt;5,0,SUMPRODUCT(('Assignment Calc'!$D$5:$D$132=$A5)*('Assignment Calc'!$H$5:$H$132&lt;&gt;"")*('Assignment Calc'!$H$5:$H$132&lt;=AU$3)*('Assignment Calc'!$I$5:$I$132&gt;=AU$3)*'Assignment Calc'!$K$5:$K$132*'Assignment Calc'!$L$5:$L$132*'Assignment Calc'!$M$5:$M$132))</f>
        <v>0</v>
      </c>
      <c r="AV5" s="26" t="n">
        <f aca="false">IF(WEEKDAY(AV$3,2)&gt;5,0,SUMPRODUCT(('Assignment Calc'!$D$5:$D$132=$A5)*('Assignment Calc'!$H$5:$H$132&lt;&gt;"")*('Assignment Calc'!$H$5:$H$132&lt;=AV$3)*('Assignment Calc'!$I$5:$I$132&gt;=AV$3)*'Assignment Calc'!$K$5:$K$132*'Assignment Calc'!$L$5:$L$132*'Assignment Calc'!$M$5:$M$132))</f>
        <v>0</v>
      </c>
      <c r="AW5" s="26" t="n">
        <f aca="false">IF(WEEKDAY(AW$3,2)&gt;5,0,SUMPRODUCT(('Assignment Calc'!$D$5:$D$132=$A5)*('Assignment Calc'!$H$5:$H$132&lt;&gt;"")*('Assignment Calc'!$H$5:$H$132&lt;=AW$3)*('Assignment Calc'!$I$5:$I$132&gt;=AW$3)*'Assignment Calc'!$K$5:$K$132*'Assignment Calc'!$L$5:$L$132*'Assignment Calc'!$M$5:$M$132))</f>
        <v>0</v>
      </c>
      <c r="AX5" s="26" t="n">
        <f aca="false">IF(WEEKDAY(AX$3,2)&gt;5,0,SUMPRODUCT(('Assignment Calc'!$D$5:$D$132=$A5)*('Assignment Calc'!$H$5:$H$132&lt;&gt;"")*('Assignment Calc'!$H$5:$H$132&lt;=AX$3)*('Assignment Calc'!$I$5:$I$132&gt;=AX$3)*'Assignment Calc'!$K$5:$K$132*'Assignment Calc'!$L$5:$L$132*'Assignment Calc'!$M$5:$M$132))</f>
        <v>0</v>
      </c>
      <c r="AY5" s="26" t="n">
        <f aca="false">IF(WEEKDAY(AY$3,2)&gt;5,0,SUMPRODUCT(('Assignment Calc'!$D$5:$D$132=$A5)*('Assignment Calc'!$H$5:$H$132&lt;&gt;"")*('Assignment Calc'!$H$5:$H$132&lt;=AY$3)*('Assignment Calc'!$I$5:$I$132&gt;=AY$3)*'Assignment Calc'!$K$5:$K$132*'Assignment Calc'!$L$5:$L$132*'Assignment Calc'!$M$5:$M$132))</f>
        <v>0</v>
      </c>
      <c r="AZ5" s="26" t="n">
        <f aca="false">IF(WEEKDAY(AZ$3,2)&gt;5,0,SUMPRODUCT(('Assignment Calc'!$D$5:$D$132=$A5)*('Assignment Calc'!$H$5:$H$132&lt;&gt;"")*('Assignment Calc'!$H$5:$H$132&lt;=AZ$3)*('Assignment Calc'!$I$5:$I$132&gt;=AZ$3)*'Assignment Calc'!$K$5:$K$132*'Assignment Calc'!$L$5:$L$132*'Assignment Calc'!$M$5:$M$132))</f>
        <v>0</v>
      </c>
      <c r="BA5" s="26" t="n">
        <f aca="false">IF(WEEKDAY(BA$3,2)&gt;5,0,SUMPRODUCT(('Assignment Calc'!$D$5:$D$132=$A5)*('Assignment Calc'!$H$5:$H$132&lt;&gt;"")*('Assignment Calc'!$H$5:$H$132&lt;=BA$3)*('Assignment Calc'!$I$5:$I$132&gt;=BA$3)*'Assignment Calc'!$K$5:$K$132*'Assignment Calc'!$L$5:$L$132*'Assignment Calc'!$M$5:$M$132))</f>
        <v>0</v>
      </c>
      <c r="BB5" s="26" t="n">
        <f aca="false">IF(WEEKDAY(BB$3,2)&gt;5,0,SUMPRODUCT(('Assignment Calc'!$D$5:$D$132=$A5)*('Assignment Calc'!$H$5:$H$132&lt;&gt;"")*('Assignment Calc'!$H$5:$H$132&lt;=BB$3)*('Assignment Calc'!$I$5:$I$132&gt;=BB$3)*'Assignment Calc'!$K$5:$K$132*'Assignment Calc'!$L$5:$L$132*'Assignment Calc'!$M$5:$M$132))</f>
        <v>0</v>
      </c>
      <c r="BC5" s="26" t="n">
        <f aca="false">IF(WEEKDAY(BC$3,2)&gt;5,0,SUMPRODUCT(('Assignment Calc'!$D$5:$D$132=$A5)*('Assignment Calc'!$H$5:$H$132&lt;&gt;"")*('Assignment Calc'!$H$5:$H$132&lt;=BC$3)*('Assignment Calc'!$I$5:$I$132&gt;=BC$3)*'Assignment Calc'!$K$5:$K$132*'Assignment Calc'!$L$5:$L$132*'Assignment Calc'!$M$5:$M$132))</f>
        <v>0</v>
      </c>
      <c r="BD5" s="26" t="n">
        <f aca="false">IF(WEEKDAY(BD$3,2)&gt;5,0,SUMPRODUCT(('Assignment Calc'!$D$5:$D$132=$A5)*('Assignment Calc'!$H$5:$H$132&lt;&gt;"")*('Assignment Calc'!$H$5:$H$132&lt;=BD$3)*('Assignment Calc'!$I$5:$I$132&gt;=BD$3)*'Assignment Calc'!$K$5:$K$132*'Assignment Calc'!$L$5:$L$132*'Assignment Calc'!$M$5:$M$132))</f>
        <v>0</v>
      </c>
      <c r="BE5" s="26" t="n">
        <f aca="false">IF(WEEKDAY(BE$3,2)&gt;5,0,SUMPRODUCT(('Assignment Calc'!$D$5:$D$132=$A5)*('Assignment Calc'!$H$5:$H$132&lt;&gt;"")*('Assignment Calc'!$H$5:$H$132&lt;=BE$3)*('Assignment Calc'!$I$5:$I$132&gt;=BE$3)*'Assignment Calc'!$K$5:$K$132*'Assignment Calc'!$L$5:$L$132*'Assignment Calc'!$M$5:$M$132))</f>
        <v>0</v>
      </c>
      <c r="BF5" s="26" t="n">
        <f aca="false">IF(WEEKDAY(BF$3,2)&gt;5,0,SUMPRODUCT(('Assignment Calc'!$D$5:$D$132=$A5)*('Assignment Calc'!$H$5:$H$132&lt;&gt;"")*('Assignment Calc'!$H$5:$H$132&lt;=BF$3)*('Assignment Calc'!$I$5:$I$132&gt;=BF$3)*'Assignment Calc'!$K$5:$K$132*'Assignment Calc'!$L$5:$L$132*'Assignment Calc'!$M$5:$M$132))</f>
        <v>0</v>
      </c>
      <c r="BG5" s="26" t="n">
        <f aca="false">IF(WEEKDAY(BG$3,2)&gt;5,0,SUMPRODUCT(('Assignment Calc'!$D$5:$D$132=$A5)*('Assignment Calc'!$H$5:$H$132&lt;&gt;"")*('Assignment Calc'!$H$5:$H$132&lt;=BG$3)*('Assignment Calc'!$I$5:$I$132&gt;=BG$3)*'Assignment Calc'!$K$5:$K$132*'Assignment Calc'!$L$5:$L$132*'Assignment Calc'!$M$5:$M$132))</f>
        <v>0</v>
      </c>
      <c r="BH5" s="26" t="n">
        <f aca="false">IF(WEEKDAY(BH$3,2)&gt;5,0,SUMPRODUCT(('Assignment Calc'!$D$5:$D$132=$A5)*('Assignment Calc'!$H$5:$H$132&lt;&gt;"")*('Assignment Calc'!$H$5:$H$132&lt;=BH$3)*('Assignment Calc'!$I$5:$I$132&gt;=BH$3)*'Assignment Calc'!$K$5:$K$132*'Assignment Calc'!$L$5:$L$132*'Assignment Calc'!$M$5:$M$132))</f>
        <v>0</v>
      </c>
      <c r="BI5" s="26" t="n">
        <f aca="false">IF(WEEKDAY(BI$3,2)&gt;5,0,SUMPRODUCT(('Assignment Calc'!$D$5:$D$132=$A5)*('Assignment Calc'!$H$5:$H$132&lt;&gt;"")*('Assignment Calc'!$H$5:$H$132&lt;=BI$3)*('Assignment Calc'!$I$5:$I$132&gt;=BI$3)*'Assignment Calc'!$K$5:$K$132*'Assignment Calc'!$L$5:$L$132*'Assignment Calc'!$M$5:$M$132))</f>
        <v>0</v>
      </c>
      <c r="BJ5" s="26" t="n">
        <f aca="false">IF(WEEKDAY(BJ$3,2)&gt;5,0,SUMPRODUCT(('Assignment Calc'!$D$5:$D$132=$A5)*('Assignment Calc'!$H$5:$H$132&lt;&gt;"")*('Assignment Calc'!$H$5:$H$132&lt;=BJ$3)*('Assignment Calc'!$I$5:$I$132&gt;=BJ$3)*'Assignment Calc'!$K$5:$K$132*'Assignment Calc'!$L$5:$L$132*'Assignment Calc'!$M$5:$M$132))</f>
        <v>0</v>
      </c>
      <c r="BK5" s="26" t="n">
        <f aca="false">IF(WEEKDAY(BK$3,2)&gt;5,0,SUMPRODUCT(('Assignment Calc'!$D$5:$D$132=$A5)*('Assignment Calc'!$H$5:$H$132&lt;&gt;"")*('Assignment Calc'!$H$5:$H$132&lt;=BK$3)*('Assignment Calc'!$I$5:$I$132&gt;=BK$3)*'Assignment Calc'!$K$5:$K$132*'Assignment Calc'!$L$5:$L$132*'Assignment Calc'!$M$5:$M$132))</f>
        <v>0</v>
      </c>
      <c r="BL5" s="26" t="n">
        <f aca="false">IF(WEEKDAY(BL$3,2)&gt;5,0,SUMPRODUCT(('Assignment Calc'!$D$5:$D$132=$A5)*('Assignment Calc'!$H$5:$H$132&lt;&gt;"")*('Assignment Calc'!$H$5:$H$132&lt;=BL$3)*('Assignment Calc'!$I$5:$I$132&gt;=BL$3)*'Assignment Calc'!$K$5:$K$132*'Assignment Calc'!$L$5:$L$132*'Assignment Calc'!$M$5:$M$132))</f>
        <v>0</v>
      </c>
      <c r="BM5" s="26" t="n">
        <f aca="false">IF(WEEKDAY(BM$3,2)&gt;5,0,SUMPRODUCT(('Assignment Calc'!$D$5:$D$132=$A5)*('Assignment Calc'!$H$5:$H$132&lt;&gt;"")*('Assignment Calc'!$H$5:$H$132&lt;=BM$3)*('Assignment Calc'!$I$5:$I$132&gt;=BM$3)*'Assignment Calc'!$K$5:$K$132*'Assignment Calc'!$L$5:$L$132*'Assignment Calc'!$M$5:$M$132))</f>
        <v>0</v>
      </c>
      <c r="BN5" s="26" t="n">
        <f aca="false">IF(WEEKDAY(BN$3,2)&gt;5,0,SUMPRODUCT(('Assignment Calc'!$D$5:$D$132=$A5)*('Assignment Calc'!$H$5:$H$132&lt;&gt;"")*('Assignment Calc'!$H$5:$H$132&lt;=BN$3)*('Assignment Calc'!$I$5:$I$132&gt;=BN$3)*'Assignment Calc'!$K$5:$K$132*'Assignment Calc'!$L$5:$L$132*'Assignment Calc'!$M$5:$M$132))</f>
        <v>0</v>
      </c>
      <c r="BO5" s="26" t="n">
        <f aca="false">IF(WEEKDAY(BO$3,2)&gt;5,0,SUMPRODUCT(('Assignment Calc'!$D$5:$D$132=$A5)*('Assignment Calc'!$H$5:$H$132&lt;&gt;"")*('Assignment Calc'!$H$5:$H$132&lt;=BO$3)*('Assignment Calc'!$I$5:$I$132&gt;=BO$3)*'Assignment Calc'!$K$5:$K$132*'Assignment Calc'!$L$5:$L$132*'Assignment Calc'!$M$5:$M$132))</f>
        <v>0</v>
      </c>
      <c r="BP5" s="26" t="n">
        <f aca="false">IF(WEEKDAY(BP$3,2)&gt;5,0,SUMPRODUCT(('Assignment Calc'!$D$5:$D$132=$A5)*('Assignment Calc'!$H$5:$H$132&lt;&gt;"")*('Assignment Calc'!$H$5:$H$132&lt;=BP$3)*('Assignment Calc'!$I$5:$I$132&gt;=BP$3)*'Assignment Calc'!$K$5:$K$132*'Assignment Calc'!$L$5:$L$132*'Assignment Calc'!$M$5:$M$132))</f>
        <v>0</v>
      </c>
      <c r="BQ5" s="26" t="n">
        <f aca="false">IF(WEEKDAY(BQ$3,2)&gt;5,0,SUMPRODUCT(('Assignment Calc'!$D$5:$D$132=$A5)*('Assignment Calc'!$H$5:$H$132&lt;&gt;"")*('Assignment Calc'!$H$5:$H$132&lt;=BQ$3)*('Assignment Calc'!$I$5:$I$132&gt;=BQ$3)*'Assignment Calc'!$K$5:$K$132*'Assignment Calc'!$L$5:$L$132*'Assignment Calc'!$M$5:$M$132))</f>
        <v>0</v>
      </c>
      <c r="BR5" s="26" t="n">
        <f aca="false">IF(WEEKDAY(BR$3,2)&gt;5,0,SUMPRODUCT(('Assignment Calc'!$D$5:$D$132=$A5)*('Assignment Calc'!$H$5:$H$132&lt;&gt;"")*('Assignment Calc'!$H$5:$H$132&lt;=BR$3)*('Assignment Calc'!$I$5:$I$132&gt;=BR$3)*'Assignment Calc'!$K$5:$K$132*'Assignment Calc'!$L$5:$L$132*'Assignment Calc'!$M$5:$M$132))</f>
        <v>0</v>
      </c>
      <c r="BS5" s="26" t="n">
        <f aca="false">IF(WEEKDAY(BS$3,2)&gt;5,0,SUMPRODUCT(('Assignment Calc'!$D$5:$D$132=$A5)*('Assignment Calc'!$H$5:$H$132&lt;&gt;"")*('Assignment Calc'!$H$5:$H$132&lt;=BS$3)*('Assignment Calc'!$I$5:$I$132&gt;=BS$3)*'Assignment Calc'!$K$5:$K$132*'Assignment Calc'!$L$5:$L$132*'Assignment Calc'!$M$5:$M$132))</f>
        <v>0</v>
      </c>
      <c r="BT5" s="26" t="n">
        <f aca="false">IF(WEEKDAY(BT$3,2)&gt;5,0,SUMPRODUCT(('Assignment Calc'!$D$5:$D$132=$A5)*('Assignment Calc'!$H$5:$H$132&lt;&gt;"")*('Assignment Calc'!$H$5:$H$132&lt;=BT$3)*('Assignment Calc'!$I$5:$I$132&gt;=BT$3)*'Assignment Calc'!$K$5:$K$132*'Assignment Calc'!$L$5:$L$132*'Assignment Calc'!$M$5:$M$132))</f>
        <v>0</v>
      </c>
      <c r="BU5" s="26" t="n">
        <f aca="false">IF(WEEKDAY(BU$3,2)&gt;5,0,SUMPRODUCT(('Assignment Calc'!$D$5:$D$132=$A5)*('Assignment Calc'!$H$5:$H$132&lt;&gt;"")*('Assignment Calc'!$H$5:$H$132&lt;=BU$3)*('Assignment Calc'!$I$5:$I$132&gt;=BU$3)*'Assignment Calc'!$K$5:$K$132*'Assignment Calc'!$L$5:$L$132*'Assignment Calc'!$M$5:$M$132))</f>
        <v>0</v>
      </c>
      <c r="BV5" s="26" t="n">
        <f aca="false">IF(WEEKDAY(BV$3,2)&gt;5,0,SUMPRODUCT(('Assignment Calc'!$D$5:$D$132=$A5)*('Assignment Calc'!$H$5:$H$132&lt;&gt;"")*('Assignment Calc'!$H$5:$H$132&lt;=BV$3)*('Assignment Calc'!$I$5:$I$132&gt;=BV$3)*'Assignment Calc'!$K$5:$K$132*'Assignment Calc'!$L$5:$L$132*'Assignment Calc'!$M$5:$M$132))</f>
        <v>0</v>
      </c>
      <c r="BW5" s="26" t="n">
        <f aca="false">IF(WEEKDAY(BW$3,2)&gt;5,0,SUMPRODUCT(('Assignment Calc'!$D$5:$D$132=$A5)*('Assignment Calc'!$H$5:$H$132&lt;&gt;"")*('Assignment Calc'!$H$5:$H$132&lt;=BW$3)*('Assignment Calc'!$I$5:$I$132&gt;=BW$3)*'Assignment Calc'!$K$5:$K$132*'Assignment Calc'!$L$5:$L$132*'Assignment Calc'!$M$5:$M$132))</f>
        <v>0</v>
      </c>
      <c r="BX5" s="26" t="n">
        <f aca="false">IF(WEEKDAY(BX$3,2)&gt;5,0,SUMPRODUCT(('Assignment Calc'!$D$5:$D$132=$A5)*('Assignment Calc'!$H$5:$H$132&lt;&gt;"")*('Assignment Calc'!$H$5:$H$132&lt;=BX$3)*('Assignment Calc'!$I$5:$I$132&gt;=BX$3)*'Assignment Calc'!$K$5:$K$132*'Assignment Calc'!$L$5:$L$132*'Assignment Calc'!$M$5:$M$132))</f>
        <v>0</v>
      </c>
      <c r="BY5" s="26" t="n">
        <f aca="false">IF(WEEKDAY(BY$3,2)&gt;5,0,SUMPRODUCT(('Assignment Calc'!$D$5:$D$132=$A5)*('Assignment Calc'!$H$5:$H$132&lt;&gt;"")*('Assignment Calc'!$H$5:$H$132&lt;=BY$3)*('Assignment Calc'!$I$5:$I$132&gt;=BY$3)*'Assignment Calc'!$K$5:$K$132*'Assignment Calc'!$L$5:$L$132*'Assignment Calc'!$M$5:$M$132))</f>
        <v>4.5</v>
      </c>
      <c r="BZ5" s="26" t="n">
        <f aca="false">IF(WEEKDAY(BZ$3,2)&gt;5,0,SUMPRODUCT(('Assignment Calc'!$D$5:$D$132=$A5)*('Assignment Calc'!$H$5:$H$132&lt;&gt;"")*('Assignment Calc'!$H$5:$H$132&lt;=BZ$3)*('Assignment Calc'!$I$5:$I$132&gt;=BZ$3)*'Assignment Calc'!$K$5:$K$132*'Assignment Calc'!$L$5:$L$132*'Assignment Calc'!$M$5:$M$132))</f>
        <v>4.5</v>
      </c>
      <c r="CA5" s="26" t="n">
        <f aca="false">IF(WEEKDAY(CA$3,2)&gt;5,0,SUMPRODUCT(('Assignment Calc'!$D$5:$D$132=$A5)*('Assignment Calc'!$H$5:$H$132&lt;&gt;"")*('Assignment Calc'!$H$5:$H$132&lt;=CA$3)*('Assignment Calc'!$I$5:$I$132&gt;=CA$3)*'Assignment Calc'!$K$5:$K$132*'Assignment Calc'!$L$5:$L$132*'Assignment Calc'!$M$5:$M$132))</f>
        <v>4.5</v>
      </c>
      <c r="CB5" s="26" t="n">
        <f aca="false">IF(WEEKDAY(CB$3,2)&gt;5,0,SUMPRODUCT(('Assignment Calc'!$D$5:$D$132=$A5)*('Assignment Calc'!$H$5:$H$132&lt;&gt;"")*('Assignment Calc'!$H$5:$H$132&lt;=CB$3)*('Assignment Calc'!$I$5:$I$132&gt;=CB$3)*'Assignment Calc'!$K$5:$K$132*'Assignment Calc'!$L$5:$L$132*'Assignment Calc'!$M$5:$M$132))</f>
        <v>4.5</v>
      </c>
      <c r="CC5" s="26" t="n">
        <f aca="false">IF(WEEKDAY(CC$3,2)&gt;5,0,SUMPRODUCT(('Assignment Calc'!$D$5:$D$132=$A5)*('Assignment Calc'!$H$5:$H$132&lt;&gt;"")*('Assignment Calc'!$H$5:$H$132&lt;=CC$3)*('Assignment Calc'!$I$5:$I$132&gt;=CC$3)*'Assignment Calc'!$K$5:$K$132*'Assignment Calc'!$L$5:$L$132*'Assignment Calc'!$M$5:$M$132))</f>
        <v>4.5</v>
      </c>
      <c r="CD5" s="26" t="n">
        <f aca="false">IF(WEEKDAY(CD$3,2)&gt;5,0,SUMPRODUCT(('Assignment Calc'!$D$5:$D$132=$A5)*('Assignment Calc'!$H$5:$H$132&lt;&gt;"")*('Assignment Calc'!$H$5:$H$132&lt;=CD$3)*('Assignment Calc'!$I$5:$I$132&gt;=CD$3)*'Assignment Calc'!$K$5:$K$132*'Assignment Calc'!$L$5:$L$132*'Assignment Calc'!$M$5:$M$132))</f>
        <v>0</v>
      </c>
      <c r="CE5" s="26" t="n">
        <f aca="false">IF(WEEKDAY(CE$3,2)&gt;5,0,SUMPRODUCT(('Assignment Calc'!$D$5:$D$132=$A5)*('Assignment Calc'!$H$5:$H$132&lt;&gt;"")*('Assignment Calc'!$H$5:$H$132&lt;=CE$3)*('Assignment Calc'!$I$5:$I$132&gt;=CE$3)*'Assignment Calc'!$K$5:$K$132*'Assignment Calc'!$L$5:$L$132*'Assignment Calc'!$M$5:$M$132))</f>
        <v>0</v>
      </c>
      <c r="CF5" s="26" t="n">
        <f aca="false">IF(WEEKDAY(CF$3,2)&gt;5,0,SUMPRODUCT(('Assignment Calc'!$D$5:$D$132=$A5)*('Assignment Calc'!$H$5:$H$132&lt;&gt;"")*('Assignment Calc'!$H$5:$H$132&lt;=CF$3)*('Assignment Calc'!$I$5:$I$132&gt;=CF$3)*'Assignment Calc'!$K$5:$K$132*'Assignment Calc'!$L$5:$L$132*'Assignment Calc'!$M$5:$M$132))</f>
        <v>9</v>
      </c>
      <c r="CG5" s="26" t="n">
        <f aca="false">IF(WEEKDAY(CG$3,2)&gt;5,0,SUMPRODUCT(('Assignment Calc'!$D$5:$D$132=$A5)*('Assignment Calc'!$H$5:$H$132&lt;&gt;"")*('Assignment Calc'!$H$5:$H$132&lt;=CG$3)*('Assignment Calc'!$I$5:$I$132&gt;=CG$3)*'Assignment Calc'!$K$5:$K$132*'Assignment Calc'!$L$5:$L$132*'Assignment Calc'!$M$5:$M$132))</f>
        <v>9</v>
      </c>
      <c r="CH5" s="26" t="n">
        <f aca="false">IF(WEEKDAY(CH$3,2)&gt;5,0,SUMPRODUCT(('Assignment Calc'!$D$5:$D$132=$A5)*('Assignment Calc'!$H$5:$H$132&lt;&gt;"")*('Assignment Calc'!$H$5:$H$132&lt;=CH$3)*('Assignment Calc'!$I$5:$I$132&gt;=CH$3)*'Assignment Calc'!$K$5:$K$132*'Assignment Calc'!$L$5:$L$132*'Assignment Calc'!$M$5:$M$132))</f>
        <v>9</v>
      </c>
      <c r="CI5" s="26" t="n">
        <f aca="false">IF(WEEKDAY(CI$3,2)&gt;5,0,SUMPRODUCT(('Assignment Calc'!$D$5:$D$132=$A5)*('Assignment Calc'!$H$5:$H$132&lt;&gt;"")*('Assignment Calc'!$H$5:$H$132&lt;=CI$3)*('Assignment Calc'!$I$5:$I$132&gt;=CI$3)*'Assignment Calc'!$K$5:$K$132*'Assignment Calc'!$L$5:$L$132*'Assignment Calc'!$M$5:$M$132))</f>
        <v>9</v>
      </c>
      <c r="CJ5" s="26" t="n">
        <f aca="false">IF(WEEKDAY(CJ$3,2)&gt;5,0,SUMPRODUCT(('Assignment Calc'!$D$5:$D$132=$A5)*('Assignment Calc'!$H$5:$H$132&lt;&gt;"")*('Assignment Calc'!$H$5:$H$132&lt;=CJ$3)*('Assignment Calc'!$I$5:$I$132&gt;=CJ$3)*'Assignment Calc'!$K$5:$K$132*'Assignment Calc'!$L$5:$L$132*'Assignment Calc'!$M$5:$M$132))</f>
        <v>9</v>
      </c>
      <c r="CK5" s="26" t="n">
        <f aca="false">IF(WEEKDAY(CK$3,2)&gt;5,0,SUMPRODUCT(('Assignment Calc'!$D$5:$D$132=$A5)*('Assignment Calc'!$H$5:$H$132&lt;&gt;"")*('Assignment Calc'!$H$5:$H$132&lt;=CK$3)*('Assignment Calc'!$I$5:$I$132&gt;=CK$3)*'Assignment Calc'!$K$5:$K$132*'Assignment Calc'!$L$5:$L$132*'Assignment Calc'!$M$5:$M$132))</f>
        <v>0</v>
      </c>
      <c r="CL5" s="26" t="n">
        <f aca="false">IF(WEEKDAY(CL$3,2)&gt;5,0,SUMPRODUCT(('Assignment Calc'!$D$5:$D$132=$A5)*('Assignment Calc'!$H$5:$H$132&lt;&gt;"")*('Assignment Calc'!$H$5:$H$132&lt;=CL$3)*('Assignment Calc'!$I$5:$I$132&gt;=CL$3)*'Assignment Calc'!$K$5:$K$132*'Assignment Calc'!$L$5:$L$132*'Assignment Calc'!$M$5:$M$132))</f>
        <v>0</v>
      </c>
      <c r="CM5" s="26" t="n">
        <f aca="false">IF(WEEKDAY(CM$3,2)&gt;5,0,SUMPRODUCT(('Assignment Calc'!$D$5:$D$132=$A5)*('Assignment Calc'!$H$5:$H$132&lt;&gt;"")*('Assignment Calc'!$H$5:$H$132&lt;=CM$3)*('Assignment Calc'!$I$5:$I$132&gt;=CM$3)*'Assignment Calc'!$K$5:$K$132*'Assignment Calc'!$L$5:$L$132*'Assignment Calc'!$M$5:$M$132))</f>
        <v>0</v>
      </c>
      <c r="CN5" s="26" t="n">
        <f aca="false">IF(WEEKDAY(CN$3,2)&gt;5,0,SUMPRODUCT(('Assignment Calc'!$D$5:$D$132=$A5)*('Assignment Calc'!$H$5:$H$132&lt;&gt;"")*('Assignment Calc'!$H$5:$H$132&lt;=CN$3)*('Assignment Calc'!$I$5:$I$132&gt;=CN$3)*'Assignment Calc'!$K$5:$K$132*'Assignment Calc'!$L$5:$L$132*'Assignment Calc'!$M$5:$M$132))</f>
        <v>0</v>
      </c>
      <c r="CO5" s="26" t="n">
        <f aca="false">IF(WEEKDAY(CO$3,2)&gt;5,0,SUMPRODUCT(('Assignment Calc'!$D$5:$D$132=$A5)*('Assignment Calc'!$H$5:$H$132&lt;&gt;"")*('Assignment Calc'!$H$5:$H$132&lt;=CO$3)*('Assignment Calc'!$I$5:$I$132&gt;=CO$3)*'Assignment Calc'!$K$5:$K$132*'Assignment Calc'!$L$5:$L$132*'Assignment Calc'!$M$5:$M$132))</f>
        <v>0</v>
      </c>
      <c r="CP5" s="26" t="n">
        <f aca="false">IF(WEEKDAY(CP$3,2)&gt;5,0,SUMPRODUCT(('Assignment Calc'!$D$5:$D$132=$A5)*('Assignment Calc'!$H$5:$H$132&lt;&gt;"")*('Assignment Calc'!$H$5:$H$132&lt;=CP$3)*('Assignment Calc'!$I$5:$I$132&gt;=CP$3)*'Assignment Calc'!$K$5:$K$132*'Assignment Calc'!$L$5:$L$132*'Assignment Calc'!$M$5:$M$132))</f>
        <v>0</v>
      </c>
    </row>
    <row r="6" customFormat="false" ht="15" hidden="false" customHeight="true" outlineLevel="0" collapsed="false">
      <c r="A6" s="2" t="s">
        <v>117</v>
      </c>
      <c r="B6" s="23" t="n">
        <f aca="false">SUM(C6:CP6)</f>
        <v>60.75</v>
      </c>
      <c r="C6" s="26" t="n">
        <f aca="false">IF(WEEKDAY(C$3,2)&gt;5,0,SUMPRODUCT(('Assignment Calc'!$D$5:$D$132=$A6)*('Assignment Calc'!$H$5:$H$132&lt;&gt;"")*('Assignment Calc'!$H$5:$H$132&lt;=C$3)*('Assignment Calc'!$I$5:$I$132&gt;=C$3)*'Assignment Calc'!$K$5:$K$132*'Assignment Calc'!$L$5:$L$132*'Assignment Calc'!$M$5:$M$132))</f>
        <v>0</v>
      </c>
      <c r="D6" s="26" t="n">
        <f aca="false">IF(WEEKDAY(D$3,2)&gt;5,0,SUMPRODUCT(('Assignment Calc'!$D$5:$D$132=$A6)*('Assignment Calc'!$H$5:$H$132&lt;&gt;"")*('Assignment Calc'!$H$5:$H$132&lt;=D$3)*('Assignment Calc'!$I$5:$I$132&gt;=D$3)*'Assignment Calc'!$K$5:$K$132*'Assignment Calc'!$L$5:$L$132*'Assignment Calc'!$M$5:$M$132))</f>
        <v>0</v>
      </c>
      <c r="E6" s="26" t="n">
        <f aca="false">IF(WEEKDAY(E$3,2)&gt;5,0,SUMPRODUCT(('Assignment Calc'!$D$5:$D$132=$A6)*('Assignment Calc'!$H$5:$H$132&lt;&gt;"")*('Assignment Calc'!$H$5:$H$132&lt;=E$3)*('Assignment Calc'!$I$5:$I$132&gt;=E$3)*'Assignment Calc'!$K$5:$K$132*'Assignment Calc'!$L$5:$L$132*'Assignment Calc'!$M$5:$M$132))</f>
        <v>0</v>
      </c>
      <c r="F6" s="26" t="n">
        <f aca="false">IF(WEEKDAY(F$3,2)&gt;5,0,SUMPRODUCT(('Assignment Calc'!$D$5:$D$132=$A6)*('Assignment Calc'!$H$5:$H$132&lt;&gt;"")*('Assignment Calc'!$H$5:$H$132&lt;=F$3)*('Assignment Calc'!$I$5:$I$132&gt;=F$3)*'Assignment Calc'!$K$5:$K$132*'Assignment Calc'!$L$5:$L$132*'Assignment Calc'!$M$5:$M$132))</f>
        <v>0</v>
      </c>
      <c r="G6" s="26" t="n">
        <f aca="false">IF(WEEKDAY(G$3,2)&gt;5,0,SUMPRODUCT(('Assignment Calc'!$D$5:$D$132=$A6)*('Assignment Calc'!$H$5:$H$132&lt;&gt;"")*('Assignment Calc'!$H$5:$H$132&lt;=G$3)*('Assignment Calc'!$I$5:$I$132&gt;=G$3)*'Assignment Calc'!$K$5:$K$132*'Assignment Calc'!$L$5:$L$132*'Assignment Calc'!$M$5:$M$132))</f>
        <v>0</v>
      </c>
      <c r="H6" s="26" t="n">
        <f aca="false">IF(WEEKDAY(H$3,2)&gt;5,0,SUMPRODUCT(('Assignment Calc'!$D$5:$D$132=$A6)*('Assignment Calc'!$H$5:$H$132&lt;&gt;"")*('Assignment Calc'!$H$5:$H$132&lt;=H$3)*('Assignment Calc'!$I$5:$I$132&gt;=H$3)*'Assignment Calc'!$K$5:$K$132*'Assignment Calc'!$L$5:$L$132*'Assignment Calc'!$M$5:$M$132))</f>
        <v>0</v>
      </c>
      <c r="I6" s="26" t="n">
        <f aca="false">IF(WEEKDAY(I$3,2)&gt;5,0,SUMPRODUCT(('Assignment Calc'!$D$5:$D$132=$A6)*('Assignment Calc'!$H$5:$H$132&lt;&gt;"")*('Assignment Calc'!$H$5:$H$132&lt;=I$3)*('Assignment Calc'!$I$5:$I$132&gt;=I$3)*'Assignment Calc'!$K$5:$K$132*'Assignment Calc'!$L$5:$L$132*'Assignment Calc'!$M$5:$M$132))</f>
        <v>0</v>
      </c>
      <c r="J6" s="26" t="n">
        <f aca="false">IF(WEEKDAY(J$3,2)&gt;5,0,SUMPRODUCT(('Assignment Calc'!$D$5:$D$132=$A6)*('Assignment Calc'!$H$5:$H$132&lt;&gt;"")*('Assignment Calc'!$H$5:$H$132&lt;=J$3)*('Assignment Calc'!$I$5:$I$132&gt;=J$3)*'Assignment Calc'!$K$5:$K$132*'Assignment Calc'!$L$5:$L$132*'Assignment Calc'!$M$5:$M$132))</f>
        <v>0</v>
      </c>
      <c r="K6" s="26" t="n">
        <f aca="false">IF(WEEKDAY(K$3,2)&gt;5,0,SUMPRODUCT(('Assignment Calc'!$D$5:$D$132=$A6)*('Assignment Calc'!$H$5:$H$132&lt;&gt;"")*('Assignment Calc'!$H$5:$H$132&lt;=K$3)*('Assignment Calc'!$I$5:$I$132&gt;=K$3)*'Assignment Calc'!$K$5:$K$132*'Assignment Calc'!$L$5:$L$132*'Assignment Calc'!$M$5:$M$132))</f>
        <v>0</v>
      </c>
      <c r="L6" s="26" t="n">
        <f aca="false">IF(WEEKDAY(L$3,2)&gt;5,0,SUMPRODUCT(('Assignment Calc'!$D$5:$D$132=$A6)*('Assignment Calc'!$H$5:$H$132&lt;&gt;"")*('Assignment Calc'!$H$5:$H$132&lt;=L$3)*('Assignment Calc'!$I$5:$I$132&gt;=L$3)*'Assignment Calc'!$K$5:$K$132*'Assignment Calc'!$L$5:$L$132*'Assignment Calc'!$M$5:$M$132))</f>
        <v>0</v>
      </c>
      <c r="M6" s="26" t="n">
        <f aca="false">IF(WEEKDAY(M$3,2)&gt;5,0,SUMPRODUCT(('Assignment Calc'!$D$5:$D$132=$A6)*('Assignment Calc'!$H$5:$H$132&lt;&gt;"")*('Assignment Calc'!$H$5:$H$132&lt;=M$3)*('Assignment Calc'!$I$5:$I$132&gt;=M$3)*'Assignment Calc'!$K$5:$K$132*'Assignment Calc'!$L$5:$L$132*'Assignment Calc'!$M$5:$M$132))</f>
        <v>0</v>
      </c>
      <c r="N6" s="26" t="n">
        <f aca="false">IF(WEEKDAY(N$3,2)&gt;5,0,SUMPRODUCT(('Assignment Calc'!$D$5:$D$132=$A6)*('Assignment Calc'!$H$5:$H$132&lt;&gt;"")*('Assignment Calc'!$H$5:$H$132&lt;=N$3)*('Assignment Calc'!$I$5:$I$132&gt;=N$3)*'Assignment Calc'!$K$5:$K$132*'Assignment Calc'!$L$5:$L$132*'Assignment Calc'!$M$5:$M$132))</f>
        <v>0</v>
      </c>
      <c r="O6" s="26" t="n">
        <f aca="false">IF(WEEKDAY(O$3,2)&gt;5,0,SUMPRODUCT(('Assignment Calc'!$D$5:$D$132=$A6)*('Assignment Calc'!$H$5:$H$132&lt;&gt;"")*('Assignment Calc'!$H$5:$H$132&lt;=O$3)*('Assignment Calc'!$I$5:$I$132&gt;=O$3)*'Assignment Calc'!$K$5:$K$132*'Assignment Calc'!$L$5:$L$132*'Assignment Calc'!$M$5:$M$132))</f>
        <v>0</v>
      </c>
      <c r="P6" s="26" t="n">
        <f aca="false">IF(WEEKDAY(P$3,2)&gt;5,0,SUMPRODUCT(('Assignment Calc'!$D$5:$D$132=$A6)*('Assignment Calc'!$H$5:$H$132&lt;&gt;"")*('Assignment Calc'!$H$5:$H$132&lt;=P$3)*('Assignment Calc'!$I$5:$I$132&gt;=P$3)*'Assignment Calc'!$K$5:$K$132*'Assignment Calc'!$L$5:$L$132*'Assignment Calc'!$M$5:$M$132))</f>
        <v>0</v>
      </c>
      <c r="Q6" s="26" t="n">
        <f aca="false">IF(WEEKDAY(Q$3,2)&gt;5,0,SUMPRODUCT(('Assignment Calc'!$D$5:$D$132=$A6)*('Assignment Calc'!$H$5:$H$132&lt;&gt;"")*('Assignment Calc'!$H$5:$H$132&lt;=Q$3)*('Assignment Calc'!$I$5:$I$132&gt;=Q$3)*'Assignment Calc'!$K$5:$K$132*'Assignment Calc'!$L$5:$L$132*'Assignment Calc'!$M$5:$M$132))</f>
        <v>0</v>
      </c>
      <c r="R6" s="26" t="n">
        <f aca="false">IF(WEEKDAY(R$3,2)&gt;5,0,SUMPRODUCT(('Assignment Calc'!$D$5:$D$132=$A6)*('Assignment Calc'!$H$5:$H$132&lt;&gt;"")*('Assignment Calc'!$H$5:$H$132&lt;=R$3)*('Assignment Calc'!$I$5:$I$132&gt;=R$3)*'Assignment Calc'!$K$5:$K$132*'Assignment Calc'!$L$5:$L$132*'Assignment Calc'!$M$5:$M$132))</f>
        <v>0</v>
      </c>
      <c r="S6" s="26" t="n">
        <f aca="false">IF(WEEKDAY(S$3,2)&gt;5,0,SUMPRODUCT(('Assignment Calc'!$D$5:$D$132=$A6)*('Assignment Calc'!$H$5:$H$132&lt;&gt;"")*('Assignment Calc'!$H$5:$H$132&lt;=S$3)*('Assignment Calc'!$I$5:$I$132&gt;=S$3)*'Assignment Calc'!$K$5:$K$132*'Assignment Calc'!$L$5:$L$132*'Assignment Calc'!$M$5:$M$132))</f>
        <v>0</v>
      </c>
      <c r="T6" s="26" t="n">
        <f aca="false">IF(WEEKDAY(T$3,2)&gt;5,0,SUMPRODUCT(('Assignment Calc'!$D$5:$D$132=$A6)*('Assignment Calc'!$H$5:$H$132&lt;&gt;"")*('Assignment Calc'!$H$5:$H$132&lt;=T$3)*('Assignment Calc'!$I$5:$I$132&gt;=T$3)*'Assignment Calc'!$K$5:$K$132*'Assignment Calc'!$L$5:$L$132*'Assignment Calc'!$M$5:$M$132))</f>
        <v>0</v>
      </c>
      <c r="U6" s="26" t="n">
        <f aca="false">IF(WEEKDAY(U$3,2)&gt;5,0,SUMPRODUCT(('Assignment Calc'!$D$5:$D$132=$A6)*('Assignment Calc'!$H$5:$H$132&lt;&gt;"")*('Assignment Calc'!$H$5:$H$132&lt;=U$3)*('Assignment Calc'!$I$5:$I$132&gt;=U$3)*'Assignment Calc'!$K$5:$K$132*'Assignment Calc'!$L$5:$L$132*'Assignment Calc'!$M$5:$M$132))</f>
        <v>0</v>
      </c>
      <c r="V6" s="26" t="n">
        <f aca="false">IF(WEEKDAY(V$3,2)&gt;5,0,SUMPRODUCT(('Assignment Calc'!$D$5:$D$132=$A6)*('Assignment Calc'!$H$5:$H$132&lt;&gt;"")*('Assignment Calc'!$H$5:$H$132&lt;=V$3)*('Assignment Calc'!$I$5:$I$132&gt;=V$3)*'Assignment Calc'!$K$5:$K$132*'Assignment Calc'!$L$5:$L$132*'Assignment Calc'!$M$5:$M$132))</f>
        <v>0</v>
      </c>
      <c r="W6" s="26" t="n">
        <f aca="false">IF(WEEKDAY(W$3,2)&gt;5,0,SUMPRODUCT(('Assignment Calc'!$D$5:$D$132=$A6)*('Assignment Calc'!$H$5:$H$132&lt;&gt;"")*('Assignment Calc'!$H$5:$H$132&lt;=W$3)*('Assignment Calc'!$I$5:$I$132&gt;=W$3)*'Assignment Calc'!$K$5:$K$132*'Assignment Calc'!$L$5:$L$132*'Assignment Calc'!$M$5:$M$132))</f>
        <v>0</v>
      </c>
      <c r="X6" s="26" t="n">
        <f aca="false">IF(WEEKDAY(X$3,2)&gt;5,0,SUMPRODUCT(('Assignment Calc'!$D$5:$D$132=$A6)*('Assignment Calc'!$H$5:$H$132&lt;&gt;"")*('Assignment Calc'!$H$5:$H$132&lt;=X$3)*('Assignment Calc'!$I$5:$I$132&gt;=X$3)*'Assignment Calc'!$K$5:$K$132*'Assignment Calc'!$L$5:$L$132*'Assignment Calc'!$M$5:$M$132))</f>
        <v>0</v>
      </c>
      <c r="Y6" s="26" t="n">
        <f aca="false">IF(WEEKDAY(Y$3,2)&gt;5,0,SUMPRODUCT(('Assignment Calc'!$D$5:$D$132=$A6)*('Assignment Calc'!$H$5:$H$132&lt;&gt;"")*('Assignment Calc'!$H$5:$H$132&lt;=Y$3)*('Assignment Calc'!$I$5:$I$132&gt;=Y$3)*'Assignment Calc'!$K$5:$K$132*'Assignment Calc'!$L$5:$L$132*'Assignment Calc'!$M$5:$M$132))</f>
        <v>0</v>
      </c>
      <c r="Z6" s="26" t="n">
        <f aca="false">IF(WEEKDAY(Z$3,2)&gt;5,0,SUMPRODUCT(('Assignment Calc'!$D$5:$D$132=$A6)*('Assignment Calc'!$H$5:$H$132&lt;&gt;"")*('Assignment Calc'!$H$5:$H$132&lt;=Z$3)*('Assignment Calc'!$I$5:$I$132&gt;=Z$3)*'Assignment Calc'!$K$5:$K$132*'Assignment Calc'!$L$5:$L$132*'Assignment Calc'!$M$5:$M$132))</f>
        <v>0</v>
      </c>
      <c r="AA6" s="26" t="n">
        <f aca="false">IF(WEEKDAY(AA$3,2)&gt;5,0,SUMPRODUCT(('Assignment Calc'!$D$5:$D$132=$A6)*('Assignment Calc'!$H$5:$H$132&lt;&gt;"")*('Assignment Calc'!$H$5:$H$132&lt;=AA$3)*('Assignment Calc'!$I$5:$I$132&gt;=AA$3)*'Assignment Calc'!$K$5:$K$132*'Assignment Calc'!$L$5:$L$132*'Assignment Calc'!$M$5:$M$132))</f>
        <v>0</v>
      </c>
      <c r="AB6" s="26" t="n">
        <f aca="false">IF(WEEKDAY(AB$3,2)&gt;5,0,SUMPRODUCT(('Assignment Calc'!$D$5:$D$132=$A6)*('Assignment Calc'!$H$5:$H$132&lt;&gt;"")*('Assignment Calc'!$H$5:$H$132&lt;=AB$3)*('Assignment Calc'!$I$5:$I$132&gt;=AB$3)*'Assignment Calc'!$K$5:$K$132*'Assignment Calc'!$L$5:$L$132*'Assignment Calc'!$M$5:$M$132))</f>
        <v>0</v>
      </c>
      <c r="AC6" s="26" t="n">
        <f aca="false">IF(WEEKDAY(AC$3,2)&gt;5,0,SUMPRODUCT(('Assignment Calc'!$D$5:$D$132=$A6)*('Assignment Calc'!$H$5:$H$132&lt;&gt;"")*('Assignment Calc'!$H$5:$H$132&lt;=AC$3)*('Assignment Calc'!$I$5:$I$132&gt;=AC$3)*'Assignment Calc'!$K$5:$K$132*'Assignment Calc'!$L$5:$L$132*'Assignment Calc'!$M$5:$M$132))</f>
        <v>0</v>
      </c>
      <c r="AD6" s="26" t="n">
        <f aca="false">IF(WEEKDAY(AD$3,2)&gt;5,0,SUMPRODUCT(('Assignment Calc'!$D$5:$D$132=$A6)*('Assignment Calc'!$H$5:$H$132&lt;&gt;"")*('Assignment Calc'!$H$5:$H$132&lt;=AD$3)*('Assignment Calc'!$I$5:$I$132&gt;=AD$3)*'Assignment Calc'!$K$5:$K$132*'Assignment Calc'!$L$5:$L$132*'Assignment Calc'!$M$5:$M$132))</f>
        <v>0</v>
      </c>
      <c r="AE6" s="26" t="n">
        <f aca="false">IF(WEEKDAY(AE$3,2)&gt;5,0,SUMPRODUCT(('Assignment Calc'!$D$5:$D$132=$A6)*('Assignment Calc'!$H$5:$H$132&lt;&gt;"")*('Assignment Calc'!$H$5:$H$132&lt;=AE$3)*('Assignment Calc'!$I$5:$I$132&gt;=AE$3)*'Assignment Calc'!$K$5:$K$132*'Assignment Calc'!$L$5:$L$132*'Assignment Calc'!$M$5:$M$132))</f>
        <v>0</v>
      </c>
      <c r="AF6" s="26" t="n">
        <f aca="false">IF(WEEKDAY(AF$3,2)&gt;5,0,SUMPRODUCT(('Assignment Calc'!$D$5:$D$132=$A6)*('Assignment Calc'!$H$5:$H$132&lt;&gt;"")*('Assignment Calc'!$H$5:$H$132&lt;=AF$3)*('Assignment Calc'!$I$5:$I$132&gt;=AF$3)*'Assignment Calc'!$K$5:$K$132*'Assignment Calc'!$L$5:$L$132*'Assignment Calc'!$M$5:$M$132))</f>
        <v>0</v>
      </c>
      <c r="AG6" s="26" t="n">
        <f aca="false">IF(WEEKDAY(AG$3,2)&gt;5,0,SUMPRODUCT(('Assignment Calc'!$D$5:$D$132=$A6)*('Assignment Calc'!$H$5:$H$132&lt;&gt;"")*('Assignment Calc'!$H$5:$H$132&lt;=AG$3)*('Assignment Calc'!$I$5:$I$132&gt;=AG$3)*'Assignment Calc'!$K$5:$K$132*'Assignment Calc'!$L$5:$L$132*'Assignment Calc'!$M$5:$M$132))</f>
        <v>0</v>
      </c>
      <c r="AH6" s="26" t="n">
        <f aca="false">IF(WEEKDAY(AH$3,2)&gt;5,0,SUMPRODUCT(('Assignment Calc'!$D$5:$D$132=$A6)*('Assignment Calc'!$H$5:$H$132&lt;&gt;"")*('Assignment Calc'!$H$5:$H$132&lt;=AH$3)*('Assignment Calc'!$I$5:$I$132&gt;=AH$3)*'Assignment Calc'!$K$5:$K$132*'Assignment Calc'!$L$5:$L$132*'Assignment Calc'!$M$5:$M$132))</f>
        <v>0</v>
      </c>
      <c r="AI6" s="26" t="n">
        <f aca="false">IF(WEEKDAY(AI$3,2)&gt;5,0,SUMPRODUCT(('Assignment Calc'!$D$5:$D$132=$A6)*('Assignment Calc'!$H$5:$H$132&lt;&gt;"")*('Assignment Calc'!$H$5:$H$132&lt;=AI$3)*('Assignment Calc'!$I$5:$I$132&gt;=AI$3)*'Assignment Calc'!$K$5:$K$132*'Assignment Calc'!$L$5:$L$132*'Assignment Calc'!$M$5:$M$132))</f>
        <v>0</v>
      </c>
      <c r="AJ6" s="26" t="n">
        <f aca="false">IF(WEEKDAY(AJ$3,2)&gt;5,0,SUMPRODUCT(('Assignment Calc'!$D$5:$D$132=$A6)*('Assignment Calc'!$H$5:$H$132&lt;&gt;"")*('Assignment Calc'!$H$5:$H$132&lt;=AJ$3)*('Assignment Calc'!$I$5:$I$132&gt;=AJ$3)*'Assignment Calc'!$K$5:$K$132*'Assignment Calc'!$L$5:$L$132*'Assignment Calc'!$M$5:$M$132))</f>
        <v>0</v>
      </c>
      <c r="AK6" s="26" t="n">
        <f aca="false">IF(WEEKDAY(AK$3,2)&gt;5,0,SUMPRODUCT(('Assignment Calc'!$D$5:$D$132=$A6)*('Assignment Calc'!$H$5:$H$132&lt;&gt;"")*('Assignment Calc'!$H$5:$H$132&lt;=AK$3)*('Assignment Calc'!$I$5:$I$132&gt;=AK$3)*'Assignment Calc'!$K$5:$K$132*'Assignment Calc'!$L$5:$L$132*'Assignment Calc'!$M$5:$M$132))</f>
        <v>0</v>
      </c>
      <c r="AL6" s="26" t="n">
        <f aca="false">IF(WEEKDAY(AL$3,2)&gt;5,0,SUMPRODUCT(('Assignment Calc'!$D$5:$D$132=$A6)*('Assignment Calc'!$H$5:$H$132&lt;&gt;"")*('Assignment Calc'!$H$5:$H$132&lt;=AL$3)*('Assignment Calc'!$I$5:$I$132&gt;=AL$3)*'Assignment Calc'!$K$5:$K$132*'Assignment Calc'!$L$5:$L$132*'Assignment Calc'!$M$5:$M$132))</f>
        <v>0</v>
      </c>
      <c r="AM6" s="26" t="n">
        <f aca="false">IF(WEEKDAY(AM$3,2)&gt;5,0,SUMPRODUCT(('Assignment Calc'!$D$5:$D$132=$A6)*('Assignment Calc'!$H$5:$H$132&lt;&gt;"")*('Assignment Calc'!$H$5:$H$132&lt;=AM$3)*('Assignment Calc'!$I$5:$I$132&gt;=AM$3)*'Assignment Calc'!$K$5:$K$132*'Assignment Calc'!$L$5:$L$132*'Assignment Calc'!$M$5:$M$132))</f>
        <v>0</v>
      </c>
      <c r="AN6" s="26" t="n">
        <f aca="false">IF(WEEKDAY(AN$3,2)&gt;5,0,SUMPRODUCT(('Assignment Calc'!$D$5:$D$132=$A6)*('Assignment Calc'!$H$5:$H$132&lt;&gt;"")*('Assignment Calc'!$H$5:$H$132&lt;=AN$3)*('Assignment Calc'!$I$5:$I$132&gt;=AN$3)*'Assignment Calc'!$K$5:$K$132*'Assignment Calc'!$L$5:$L$132*'Assignment Calc'!$M$5:$M$132))</f>
        <v>0</v>
      </c>
      <c r="AO6" s="26" t="n">
        <f aca="false">IF(WEEKDAY(AO$3,2)&gt;5,0,SUMPRODUCT(('Assignment Calc'!$D$5:$D$132=$A6)*('Assignment Calc'!$H$5:$H$132&lt;&gt;"")*('Assignment Calc'!$H$5:$H$132&lt;=AO$3)*('Assignment Calc'!$I$5:$I$132&gt;=AO$3)*'Assignment Calc'!$K$5:$K$132*'Assignment Calc'!$L$5:$L$132*'Assignment Calc'!$M$5:$M$132))</f>
        <v>0</v>
      </c>
      <c r="AP6" s="26" t="n">
        <f aca="false">IF(WEEKDAY(AP$3,2)&gt;5,0,SUMPRODUCT(('Assignment Calc'!$D$5:$D$132=$A6)*('Assignment Calc'!$H$5:$H$132&lt;&gt;"")*('Assignment Calc'!$H$5:$H$132&lt;=AP$3)*('Assignment Calc'!$I$5:$I$132&gt;=AP$3)*'Assignment Calc'!$K$5:$K$132*'Assignment Calc'!$L$5:$L$132*'Assignment Calc'!$M$5:$M$132))</f>
        <v>0</v>
      </c>
      <c r="AQ6" s="26" t="n">
        <f aca="false">IF(WEEKDAY(AQ$3,2)&gt;5,0,SUMPRODUCT(('Assignment Calc'!$D$5:$D$132=$A6)*('Assignment Calc'!$H$5:$H$132&lt;&gt;"")*('Assignment Calc'!$H$5:$H$132&lt;=AQ$3)*('Assignment Calc'!$I$5:$I$132&gt;=AQ$3)*'Assignment Calc'!$K$5:$K$132*'Assignment Calc'!$L$5:$L$132*'Assignment Calc'!$M$5:$M$132))</f>
        <v>0</v>
      </c>
      <c r="AR6" s="26" t="n">
        <f aca="false">IF(WEEKDAY(AR$3,2)&gt;5,0,SUMPRODUCT(('Assignment Calc'!$D$5:$D$132=$A6)*('Assignment Calc'!$H$5:$H$132&lt;&gt;"")*('Assignment Calc'!$H$5:$H$132&lt;=AR$3)*('Assignment Calc'!$I$5:$I$132&gt;=AR$3)*'Assignment Calc'!$K$5:$K$132*'Assignment Calc'!$L$5:$L$132*'Assignment Calc'!$M$5:$M$132))</f>
        <v>0</v>
      </c>
      <c r="AS6" s="26" t="n">
        <f aca="false">IF(WEEKDAY(AS$3,2)&gt;5,0,SUMPRODUCT(('Assignment Calc'!$D$5:$D$132=$A6)*('Assignment Calc'!$H$5:$H$132&lt;&gt;"")*('Assignment Calc'!$H$5:$H$132&lt;=AS$3)*('Assignment Calc'!$I$5:$I$132&gt;=AS$3)*'Assignment Calc'!$K$5:$K$132*'Assignment Calc'!$L$5:$L$132*'Assignment Calc'!$M$5:$M$132))</f>
        <v>0</v>
      </c>
      <c r="AT6" s="26" t="n">
        <f aca="false">IF(WEEKDAY(AT$3,2)&gt;5,0,SUMPRODUCT(('Assignment Calc'!$D$5:$D$132=$A6)*('Assignment Calc'!$H$5:$H$132&lt;&gt;"")*('Assignment Calc'!$H$5:$H$132&lt;=AT$3)*('Assignment Calc'!$I$5:$I$132&gt;=AT$3)*'Assignment Calc'!$K$5:$K$132*'Assignment Calc'!$L$5:$L$132*'Assignment Calc'!$M$5:$M$132))</f>
        <v>0</v>
      </c>
      <c r="AU6" s="26" t="n">
        <f aca="false">IF(WEEKDAY(AU$3,2)&gt;5,0,SUMPRODUCT(('Assignment Calc'!$D$5:$D$132=$A6)*('Assignment Calc'!$H$5:$H$132&lt;&gt;"")*('Assignment Calc'!$H$5:$H$132&lt;=AU$3)*('Assignment Calc'!$I$5:$I$132&gt;=AU$3)*'Assignment Calc'!$K$5:$K$132*'Assignment Calc'!$L$5:$L$132*'Assignment Calc'!$M$5:$M$132))</f>
        <v>0</v>
      </c>
      <c r="AV6" s="26" t="n">
        <f aca="false">IF(WEEKDAY(AV$3,2)&gt;5,0,SUMPRODUCT(('Assignment Calc'!$D$5:$D$132=$A6)*('Assignment Calc'!$H$5:$H$132&lt;&gt;"")*('Assignment Calc'!$H$5:$H$132&lt;=AV$3)*('Assignment Calc'!$I$5:$I$132&gt;=AV$3)*'Assignment Calc'!$K$5:$K$132*'Assignment Calc'!$L$5:$L$132*'Assignment Calc'!$M$5:$M$132))</f>
        <v>0</v>
      </c>
      <c r="AW6" s="26" t="n">
        <f aca="false">IF(WEEKDAY(AW$3,2)&gt;5,0,SUMPRODUCT(('Assignment Calc'!$D$5:$D$132=$A6)*('Assignment Calc'!$H$5:$H$132&lt;&gt;"")*('Assignment Calc'!$H$5:$H$132&lt;=AW$3)*('Assignment Calc'!$I$5:$I$132&gt;=AW$3)*'Assignment Calc'!$K$5:$K$132*'Assignment Calc'!$L$5:$L$132*'Assignment Calc'!$M$5:$M$132))</f>
        <v>9</v>
      </c>
      <c r="AX6" s="26" t="n">
        <f aca="false">IF(WEEKDAY(AX$3,2)&gt;5,0,SUMPRODUCT(('Assignment Calc'!$D$5:$D$132=$A6)*('Assignment Calc'!$H$5:$H$132&lt;&gt;"")*('Assignment Calc'!$H$5:$H$132&lt;=AX$3)*('Assignment Calc'!$I$5:$I$132&gt;=AX$3)*'Assignment Calc'!$K$5:$K$132*'Assignment Calc'!$L$5:$L$132*'Assignment Calc'!$M$5:$M$132))</f>
        <v>9</v>
      </c>
      <c r="AY6" s="26" t="n">
        <f aca="false">IF(WEEKDAY(AY$3,2)&gt;5,0,SUMPRODUCT(('Assignment Calc'!$D$5:$D$132=$A6)*('Assignment Calc'!$H$5:$H$132&lt;&gt;"")*('Assignment Calc'!$H$5:$H$132&lt;=AY$3)*('Assignment Calc'!$I$5:$I$132&gt;=AY$3)*'Assignment Calc'!$K$5:$K$132*'Assignment Calc'!$L$5:$L$132*'Assignment Calc'!$M$5:$M$132))</f>
        <v>9</v>
      </c>
      <c r="AZ6" s="26" t="n">
        <f aca="false">IF(WEEKDAY(AZ$3,2)&gt;5,0,SUMPRODUCT(('Assignment Calc'!$D$5:$D$132=$A6)*('Assignment Calc'!$H$5:$H$132&lt;&gt;"")*('Assignment Calc'!$H$5:$H$132&lt;=AZ$3)*('Assignment Calc'!$I$5:$I$132&gt;=AZ$3)*'Assignment Calc'!$K$5:$K$132*'Assignment Calc'!$L$5:$L$132*'Assignment Calc'!$M$5:$M$132))</f>
        <v>9</v>
      </c>
      <c r="BA6" s="26" t="n">
        <f aca="false">IF(WEEKDAY(BA$3,2)&gt;5,0,SUMPRODUCT(('Assignment Calc'!$D$5:$D$132=$A6)*('Assignment Calc'!$H$5:$H$132&lt;&gt;"")*('Assignment Calc'!$H$5:$H$132&lt;=BA$3)*('Assignment Calc'!$I$5:$I$132&gt;=BA$3)*'Assignment Calc'!$K$5:$K$132*'Assignment Calc'!$L$5:$L$132*'Assignment Calc'!$M$5:$M$132))</f>
        <v>9</v>
      </c>
      <c r="BB6" s="26" t="n">
        <f aca="false">IF(WEEKDAY(BB$3,2)&gt;5,0,SUMPRODUCT(('Assignment Calc'!$D$5:$D$132=$A6)*('Assignment Calc'!$H$5:$H$132&lt;&gt;"")*('Assignment Calc'!$H$5:$H$132&lt;=BB$3)*('Assignment Calc'!$I$5:$I$132&gt;=BB$3)*'Assignment Calc'!$K$5:$K$132*'Assignment Calc'!$L$5:$L$132*'Assignment Calc'!$M$5:$M$132))</f>
        <v>0</v>
      </c>
      <c r="BC6" s="26" t="n">
        <f aca="false">IF(WEEKDAY(BC$3,2)&gt;5,0,SUMPRODUCT(('Assignment Calc'!$D$5:$D$132=$A6)*('Assignment Calc'!$H$5:$H$132&lt;&gt;"")*('Assignment Calc'!$H$5:$H$132&lt;=BC$3)*('Assignment Calc'!$I$5:$I$132&gt;=BC$3)*'Assignment Calc'!$K$5:$K$132*'Assignment Calc'!$L$5:$L$132*'Assignment Calc'!$M$5:$M$132))</f>
        <v>0</v>
      </c>
      <c r="BD6" s="26" t="n">
        <f aca="false">IF(WEEKDAY(BD$3,2)&gt;5,0,SUMPRODUCT(('Assignment Calc'!$D$5:$D$132=$A6)*('Assignment Calc'!$H$5:$H$132&lt;&gt;"")*('Assignment Calc'!$H$5:$H$132&lt;=BD$3)*('Assignment Calc'!$I$5:$I$132&gt;=BD$3)*'Assignment Calc'!$K$5:$K$132*'Assignment Calc'!$L$5:$L$132*'Assignment Calc'!$M$5:$M$132))</f>
        <v>2.25</v>
      </c>
      <c r="BE6" s="26" t="n">
        <f aca="false">IF(WEEKDAY(BE$3,2)&gt;5,0,SUMPRODUCT(('Assignment Calc'!$D$5:$D$132=$A6)*('Assignment Calc'!$H$5:$H$132&lt;&gt;"")*('Assignment Calc'!$H$5:$H$132&lt;=BE$3)*('Assignment Calc'!$I$5:$I$132&gt;=BE$3)*'Assignment Calc'!$K$5:$K$132*'Assignment Calc'!$L$5:$L$132*'Assignment Calc'!$M$5:$M$132))</f>
        <v>2.25</v>
      </c>
      <c r="BF6" s="26" t="n">
        <f aca="false">IF(WEEKDAY(BF$3,2)&gt;5,0,SUMPRODUCT(('Assignment Calc'!$D$5:$D$132=$A6)*('Assignment Calc'!$H$5:$H$132&lt;&gt;"")*('Assignment Calc'!$H$5:$H$132&lt;=BF$3)*('Assignment Calc'!$I$5:$I$132&gt;=BF$3)*'Assignment Calc'!$K$5:$K$132*'Assignment Calc'!$L$5:$L$132*'Assignment Calc'!$M$5:$M$132))</f>
        <v>2.25</v>
      </c>
      <c r="BG6" s="26" t="n">
        <f aca="false">IF(WEEKDAY(BG$3,2)&gt;5,0,SUMPRODUCT(('Assignment Calc'!$D$5:$D$132=$A6)*('Assignment Calc'!$H$5:$H$132&lt;&gt;"")*('Assignment Calc'!$H$5:$H$132&lt;=BG$3)*('Assignment Calc'!$I$5:$I$132&gt;=BG$3)*'Assignment Calc'!$K$5:$K$132*'Assignment Calc'!$L$5:$L$132*'Assignment Calc'!$M$5:$M$132))</f>
        <v>2.25</v>
      </c>
      <c r="BH6" s="26" t="n">
        <f aca="false">IF(WEEKDAY(BH$3,2)&gt;5,0,SUMPRODUCT(('Assignment Calc'!$D$5:$D$132=$A6)*('Assignment Calc'!$H$5:$H$132&lt;&gt;"")*('Assignment Calc'!$H$5:$H$132&lt;=BH$3)*('Assignment Calc'!$I$5:$I$132&gt;=BH$3)*'Assignment Calc'!$K$5:$K$132*'Assignment Calc'!$L$5:$L$132*'Assignment Calc'!$M$5:$M$132))</f>
        <v>2.25</v>
      </c>
      <c r="BI6" s="26" t="n">
        <f aca="false">IF(WEEKDAY(BI$3,2)&gt;5,0,SUMPRODUCT(('Assignment Calc'!$D$5:$D$132=$A6)*('Assignment Calc'!$H$5:$H$132&lt;&gt;"")*('Assignment Calc'!$H$5:$H$132&lt;=BI$3)*('Assignment Calc'!$I$5:$I$132&gt;=BI$3)*'Assignment Calc'!$K$5:$K$132*'Assignment Calc'!$L$5:$L$132*'Assignment Calc'!$M$5:$M$132))</f>
        <v>0</v>
      </c>
      <c r="BJ6" s="26" t="n">
        <f aca="false">IF(WEEKDAY(BJ$3,2)&gt;5,0,SUMPRODUCT(('Assignment Calc'!$D$5:$D$132=$A6)*('Assignment Calc'!$H$5:$H$132&lt;&gt;"")*('Assignment Calc'!$H$5:$H$132&lt;=BJ$3)*('Assignment Calc'!$I$5:$I$132&gt;=BJ$3)*'Assignment Calc'!$K$5:$K$132*'Assignment Calc'!$L$5:$L$132*'Assignment Calc'!$M$5:$M$132))</f>
        <v>0</v>
      </c>
      <c r="BK6" s="26" t="n">
        <f aca="false">IF(WEEKDAY(BK$3,2)&gt;5,0,SUMPRODUCT(('Assignment Calc'!$D$5:$D$132=$A6)*('Assignment Calc'!$H$5:$H$132&lt;&gt;"")*('Assignment Calc'!$H$5:$H$132&lt;=BK$3)*('Assignment Calc'!$I$5:$I$132&gt;=BK$3)*'Assignment Calc'!$K$5:$K$132*'Assignment Calc'!$L$5:$L$132*'Assignment Calc'!$M$5:$M$132))</f>
        <v>4.5</v>
      </c>
      <c r="BL6" s="26" t="n">
        <f aca="false">IF(WEEKDAY(BL$3,2)&gt;5,0,SUMPRODUCT(('Assignment Calc'!$D$5:$D$132=$A6)*('Assignment Calc'!$H$5:$H$132&lt;&gt;"")*('Assignment Calc'!$H$5:$H$132&lt;=BL$3)*('Assignment Calc'!$I$5:$I$132&gt;=BL$3)*'Assignment Calc'!$K$5:$K$132*'Assignment Calc'!$L$5:$L$132*'Assignment Calc'!$M$5:$M$132))</f>
        <v>0</v>
      </c>
      <c r="BM6" s="26" t="n">
        <f aca="false">IF(WEEKDAY(BM$3,2)&gt;5,0,SUMPRODUCT(('Assignment Calc'!$D$5:$D$132=$A6)*('Assignment Calc'!$H$5:$H$132&lt;&gt;"")*('Assignment Calc'!$H$5:$H$132&lt;=BM$3)*('Assignment Calc'!$I$5:$I$132&gt;=BM$3)*'Assignment Calc'!$K$5:$K$132*'Assignment Calc'!$L$5:$L$132*'Assignment Calc'!$M$5:$M$132))</f>
        <v>0</v>
      </c>
      <c r="BN6" s="26" t="n">
        <f aca="false">IF(WEEKDAY(BN$3,2)&gt;5,0,SUMPRODUCT(('Assignment Calc'!$D$5:$D$132=$A6)*('Assignment Calc'!$H$5:$H$132&lt;&gt;"")*('Assignment Calc'!$H$5:$H$132&lt;=BN$3)*('Assignment Calc'!$I$5:$I$132&gt;=BN$3)*'Assignment Calc'!$K$5:$K$132*'Assignment Calc'!$L$5:$L$132*'Assignment Calc'!$M$5:$M$132))</f>
        <v>0</v>
      </c>
      <c r="BO6" s="26" t="n">
        <f aca="false">IF(WEEKDAY(BO$3,2)&gt;5,0,SUMPRODUCT(('Assignment Calc'!$D$5:$D$132=$A6)*('Assignment Calc'!$H$5:$H$132&lt;&gt;"")*('Assignment Calc'!$H$5:$H$132&lt;=BO$3)*('Assignment Calc'!$I$5:$I$132&gt;=BO$3)*'Assignment Calc'!$K$5:$K$132*'Assignment Calc'!$L$5:$L$132*'Assignment Calc'!$M$5:$M$132))</f>
        <v>0</v>
      </c>
      <c r="BP6" s="26" t="n">
        <f aca="false">IF(WEEKDAY(BP$3,2)&gt;5,0,SUMPRODUCT(('Assignment Calc'!$D$5:$D$132=$A6)*('Assignment Calc'!$H$5:$H$132&lt;&gt;"")*('Assignment Calc'!$H$5:$H$132&lt;=BP$3)*('Assignment Calc'!$I$5:$I$132&gt;=BP$3)*'Assignment Calc'!$K$5:$K$132*'Assignment Calc'!$L$5:$L$132*'Assignment Calc'!$M$5:$M$132))</f>
        <v>0</v>
      </c>
      <c r="BQ6" s="26" t="n">
        <f aca="false">IF(WEEKDAY(BQ$3,2)&gt;5,0,SUMPRODUCT(('Assignment Calc'!$D$5:$D$132=$A6)*('Assignment Calc'!$H$5:$H$132&lt;&gt;"")*('Assignment Calc'!$H$5:$H$132&lt;=BQ$3)*('Assignment Calc'!$I$5:$I$132&gt;=BQ$3)*'Assignment Calc'!$K$5:$K$132*'Assignment Calc'!$L$5:$L$132*'Assignment Calc'!$M$5:$M$132))</f>
        <v>0</v>
      </c>
      <c r="BR6" s="26" t="n">
        <f aca="false">IF(WEEKDAY(BR$3,2)&gt;5,0,SUMPRODUCT(('Assignment Calc'!$D$5:$D$132=$A6)*('Assignment Calc'!$H$5:$H$132&lt;&gt;"")*('Assignment Calc'!$H$5:$H$132&lt;=BR$3)*('Assignment Calc'!$I$5:$I$132&gt;=BR$3)*'Assignment Calc'!$K$5:$K$132*'Assignment Calc'!$L$5:$L$132*'Assignment Calc'!$M$5:$M$132))</f>
        <v>0</v>
      </c>
      <c r="BS6" s="26" t="n">
        <f aca="false">IF(WEEKDAY(BS$3,2)&gt;5,0,SUMPRODUCT(('Assignment Calc'!$D$5:$D$132=$A6)*('Assignment Calc'!$H$5:$H$132&lt;&gt;"")*('Assignment Calc'!$H$5:$H$132&lt;=BS$3)*('Assignment Calc'!$I$5:$I$132&gt;=BS$3)*'Assignment Calc'!$K$5:$K$132*'Assignment Calc'!$L$5:$L$132*'Assignment Calc'!$M$5:$M$132))</f>
        <v>0</v>
      </c>
      <c r="BT6" s="26" t="n">
        <f aca="false">IF(WEEKDAY(BT$3,2)&gt;5,0,SUMPRODUCT(('Assignment Calc'!$D$5:$D$132=$A6)*('Assignment Calc'!$H$5:$H$132&lt;&gt;"")*('Assignment Calc'!$H$5:$H$132&lt;=BT$3)*('Assignment Calc'!$I$5:$I$132&gt;=BT$3)*'Assignment Calc'!$K$5:$K$132*'Assignment Calc'!$L$5:$L$132*'Assignment Calc'!$M$5:$M$132))</f>
        <v>0</v>
      </c>
      <c r="BU6" s="26" t="n">
        <f aca="false">IF(WEEKDAY(BU$3,2)&gt;5,0,SUMPRODUCT(('Assignment Calc'!$D$5:$D$132=$A6)*('Assignment Calc'!$H$5:$H$132&lt;&gt;"")*('Assignment Calc'!$H$5:$H$132&lt;=BU$3)*('Assignment Calc'!$I$5:$I$132&gt;=BU$3)*'Assignment Calc'!$K$5:$K$132*'Assignment Calc'!$L$5:$L$132*'Assignment Calc'!$M$5:$M$132))</f>
        <v>0</v>
      </c>
      <c r="BV6" s="26" t="n">
        <f aca="false">IF(WEEKDAY(BV$3,2)&gt;5,0,SUMPRODUCT(('Assignment Calc'!$D$5:$D$132=$A6)*('Assignment Calc'!$H$5:$H$132&lt;&gt;"")*('Assignment Calc'!$H$5:$H$132&lt;=BV$3)*('Assignment Calc'!$I$5:$I$132&gt;=BV$3)*'Assignment Calc'!$K$5:$K$132*'Assignment Calc'!$L$5:$L$132*'Assignment Calc'!$M$5:$M$132))</f>
        <v>0</v>
      </c>
      <c r="BW6" s="26" t="n">
        <f aca="false">IF(WEEKDAY(BW$3,2)&gt;5,0,SUMPRODUCT(('Assignment Calc'!$D$5:$D$132=$A6)*('Assignment Calc'!$H$5:$H$132&lt;&gt;"")*('Assignment Calc'!$H$5:$H$132&lt;=BW$3)*('Assignment Calc'!$I$5:$I$132&gt;=BW$3)*'Assignment Calc'!$K$5:$K$132*'Assignment Calc'!$L$5:$L$132*'Assignment Calc'!$M$5:$M$132))</f>
        <v>0</v>
      </c>
      <c r="BX6" s="26" t="n">
        <f aca="false">IF(WEEKDAY(BX$3,2)&gt;5,0,SUMPRODUCT(('Assignment Calc'!$D$5:$D$132=$A6)*('Assignment Calc'!$H$5:$H$132&lt;&gt;"")*('Assignment Calc'!$H$5:$H$132&lt;=BX$3)*('Assignment Calc'!$I$5:$I$132&gt;=BX$3)*'Assignment Calc'!$K$5:$K$132*'Assignment Calc'!$L$5:$L$132*'Assignment Calc'!$M$5:$M$132))</f>
        <v>0</v>
      </c>
      <c r="BY6" s="26" t="n">
        <f aca="false">IF(WEEKDAY(BY$3,2)&gt;5,0,SUMPRODUCT(('Assignment Calc'!$D$5:$D$132=$A6)*('Assignment Calc'!$H$5:$H$132&lt;&gt;"")*('Assignment Calc'!$H$5:$H$132&lt;=BY$3)*('Assignment Calc'!$I$5:$I$132&gt;=BY$3)*'Assignment Calc'!$K$5:$K$132*'Assignment Calc'!$L$5:$L$132*'Assignment Calc'!$M$5:$M$132))</f>
        <v>0</v>
      </c>
      <c r="BZ6" s="26" t="n">
        <f aca="false">IF(WEEKDAY(BZ$3,2)&gt;5,0,SUMPRODUCT(('Assignment Calc'!$D$5:$D$132=$A6)*('Assignment Calc'!$H$5:$H$132&lt;&gt;"")*('Assignment Calc'!$H$5:$H$132&lt;=BZ$3)*('Assignment Calc'!$I$5:$I$132&gt;=BZ$3)*'Assignment Calc'!$K$5:$K$132*'Assignment Calc'!$L$5:$L$132*'Assignment Calc'!$M$5:$M$132))</f>
        <v>0</v>
      </c>
      <c r="CA6" s="26" t="n">
        <f aca="false">IF(WEEKDAY(CA$3,2)&gt;5,0,SUMPRODUCT(('Assignment Calc'!$D$5:$D$132=$A6)*('Assignment Calc'!$H$5:$H$132&lt;&gt;"")*('Assignment Calc'!$H$5:$H$132&lt;=CA$3)*('Assignment Calc'!$I$5:$I$132&gt;=CA$3)*'Assignment Calc'!$K$5:$K$132*'Assignment Calc'!$L$5:$L$132*'Assignment Calc'!$M$5:$M$132))</f>
        <v>0</v>
      </c>
      <c r="CB6" s="26" t="n">
        <f aca="false">IF(WEEKDAY(CB$3,2)&gt;5,0,SUMPRODUCT(('Assignment Calc'!$D$5:$D$132=$A6)*('Assignment Calc'!$H$5:$H$132&lt;&gt;"")*('Assignment Calc'!$H$5:$H$132&lt;=CB$3)*('Assignment Calc'!$I$5:$I$132&gt;=CB$3)*'Assignment Calc'!$K$5:$K$132*'Assignment Calc'!$L$5:$L$132*'Assignment Calc'!$M$5:$M$132))</f>
        <v>0</v>
      </c>
      <c r="CC6" s="26" t="n">
        <f aca="false">IF(WEEKDAY(CC$3,2)&gt;5,0,SUMPRODUCT(('Assignment Calc'!$D$5:$D$132=$A6)*('Assignment Calc'!$H$5:$H$132&lt;&gt;"")*('Assignment Calc'!$H$5:$H$132&lt;=CC$3)*('Assignment Calc'!$I$5:$I$132&gt;=CC$3)*'Assignment Calc'!$K$5:$K$132*'Assignment Calc'!$L$5:$L$132*'Assignment Calc'!$M$5:$M$132))</f>
        <v>0</v>
      </c>
      <c r="CD6" s="26" t="n">
        <f aca="false">IF(WEEKDAY(CD$3,2)&gt;5,0,SUMPRODUCT(('Assignment Calc'!$D$5:$D$132=$A6)*('Assignment Calc'!$H$5:$H$132&lt;&gt;"")*('Assignment Calc'!$H$5:$H$132&lt;=CD$3)*('Assignment Calc'!$I$5:$I$132&gt;=CD$3)*'Assignment Calc'!$K$5:$K$132*'Assignment Calc'!$L$5:$L$132*'Assignment Calc'!$M$5:$M$132))</f>
        <v>0</v>
      </c>
      <c r="CE6" s="26" t="n">
        <f aca="false">IF(WEEKDAY(CE$3,2)&gt;5,0,SUMPRODUCT(('Assignment Calc'!$D$5:$D$132=$A6)*('Assignment Calc'!$H$5:$H$132&lt;&gt;"")*('Assignment Calc'!$H$5:$H$132&lt;=CE$3)*('Assignment Calc'!$I$5:$I$132&gt;=CE$3)*'Assignment Calc'!$K$5:$K$132*'Assignment Calc'!$L$5:$L$132*'Assignment Calc'!$M$5:$M$132))</f>
        <v>0</v>
      </c>
      <c r="CF6" s="26" t="n">
        <f aca="false">IF(WEEKDAY(CF$3,2)&gt;5,0,SUMPRODUCT(('Assignment Calc'!$D$5:$D$132=$A6)*('Assignment Calc'!$H$5:$H$132&lt;&gt;"")*('Assignment Calc'!$H$5:$H$132&lt;=CF$3)*('Assignment Calc'!$I$5:$I$132&gt;=CF$3)*'Assignment Calc'!$K$5:$K$132*'Assignment Calc'!$L$5:$L$132*'Assignment Calc'!$M$5:$M$132))</f>
        <v>0</v>
      </c>
      <c r="CG6" s="26" t="n">
        <f aca="false">IF(WEEKDAY(CG$3,2)&gt;5,0,SUMPRODUCT(('Assignment Calc'!$D$5:$D$132=$A6)*('Assignment Calc'!$H$5:$H$132&lt;&gt;"")*('Assignment Calc'!$H$5:$H$132&lt;=CG$3)*('Assignment Calc'!$I$5:$I$132&gt;=CG$3)*'Assignment Calc'!$K$5:$K$132*'Assignment Calc'!$L$5:$L$132*'Assignment Calc'!$M$5:$M$132))</f>
        <v>0</v>
      </c>
      <c r="CH6" s="26" t="n">
        <f aca="false">IF(WEEKDAY(CH$3,2)&gt;5,0,SUMPRODUCT(('Assignment Calc'!$D$5:$D$132=$A6)*('Assignment Calc'!$H$5:$H$132&lt;&gt;"")*('Assignment Calc'!$H$5:$H$132&lt;=CH$3)*('Assignment Calc'!$I$5:$I$132&gt;=CH$3)*'Assignment Calc'!$K$5:$K$132*'Assignment Calc'!$L$5:$L$132*'Assignment Calc'!$M$5:$M$132))</f>
        <v>0</v>
      </c>
      <c r="CI6" s="26" t="n">
        <f aca="false">IF(WEEKDAY(CI$3,2)&gt;5,0,SUMPRODUCT(('Assignment Calc'!$D$5:$D$132=$A6)*('Assignment Calc'!$H$5:$H$132&lt;&gt;"")*('Assignment Calc'!$H$5:$H$132&lt;=CI$3)*('Assignment Calc'!$I$5:$I$132&gt;=CI$3)*'Assignment Calc'!$K$5:$K$132*'Assignment Calc'!$L$5:$L$132*'Assignment Calc'!$M$5:$M$132))</f>
        <v>0</v>
      </c>
      <c r="CJ6" s="26" t="n">
        <f aca="false">IF(WEEKDAY(CJ$3,2)&gt;5,0,SUMPRODUCT(('Assignment Calc'!$D$5:$D$132=$A6)*('Assignment Calc'!$H$5:$H$132&lt;&gt;"")*('Assignment Calc'!$H$5:$H$132&lt;=CJ$3)*('Assignment Calc'!$I$5:$I$132&gt;=CJ$3)*'Assignment Calc'!$K$5:$K$132*'Assignment Calc'!$L$5:$L$132*'Assignment Calc'!$M$5:$M$132))</f>
        <v>0</v>
      </c>
      <c r="CK6" s="26" t="n">
        <f aca="false">IF(WEEKDAY(CK$3,2)&gt;5,0,SUMPRODUCT(('Assignment Calc'!$D$5:$D$132=$A6)*('Assignment Calc'!$H$5:$H$132&lt;&gt;"")*('Assignment Calc'!$H$5:$H$132&lt;=CK$3)*('Assignment Calc'!$I$5:$I$132&gt;=CK$3)*'Assignment Calc'!$K$5:$K$132*'Assignment Calc'!$L$5:$L$132*'Assignment Calc'!$M$5:$M$132))</f>
        <v>0</v>
      </c>
      <c r="CL6" s="26" t="n">
        <f aca="false">IF(WEEKDAY(CL$3,2)&gt;5,0,SUMPRODUCT(('Assignment Calc'!$D$5:$D$132=$A6)*('Assignment Calc'!$H$5:$H$132&lt;&gt;"")*('Assignment Calc'!$H$5:$H$132&lt;=CL$3)*('Assignment Calc'!$I$5:$I$132&gt;=CL$3)*'Assignment Calc'!$K$5:$K$132*'Assignment Calc'!$L$5:$L$132*'Assignment Calc'!$M$5:$M$132))</f>
        <v>0</v>
      </c>
      <c r="CM6" s="26" t="n">
        <f aca="false">IF(WEEKDAY(CM$3,2)&gt;5,0,SUMPRODUCT(('Assignment Calc'!$D$5:$D$132=$A6)*('Assignment Calc'!$H$5:$H$132&lt;&gt;"")*('Assignment Calc'!$H$5:$H$132&lt;=CM$3)*('Assignment Calc'!$I$5:$I$132&gt;=CM$3)*'Assignment Calc'!$K$5:$K$132*'Assignment Calc'!$L$5:$L$132*'Assignment Calc'!$M$5:$M$132))</f>
        <v>0</v>
      </c>
      <c r="CN6" s="26" t="n">
        <f aca="false">IF(WEEKDAY(CN$3,2)&gt;5,0,SUMPRODUCT(('Assignment Calc'!$D$5:$D$132=$A6)*('Assignment Calc'!$H$5:$H$132&lt;&gt;"")*('Assignment Calc'!$H$5:$H$132&lt;=CN$3)*('Assignment Calc'!$I$5:$I$132&gt;=CN$3)*'Assignment Calc'!$K$5:$K$132*'Assignment Calc'!$L$5:$L$132*'Assignment Calc'!$M$5:$M$132))</f>
        <v>0</v>
      </c>
      <c r="CO6" s="26" t="n">
        <f aca="false">IF(WEEKDAY(CO$3,2)&gt;5,0,SUMPRODUCT(('Assignment Calc'!$D$5:$D$132=$A6)*('Assignment Calc'!$H$5:$H$132&lt;&gt;"")*('Assignment Calc'!$H$5:$H$132&lt;=CO$3)*('Assignment Calc'!$I$5:$I$132&gt;=CO$3)*'Assignment Calc'!$K$5:$K$132*'Assignment Calc'!$L$5:$L$132*'Assignment Calc'!$M$5:$M$132))</f>
        <v>0</v>
      </c>
      <c r="CP6" s="26" t="n">
        <f aca="false">IF(WEEKDAY(CP$3,2)&gt;5,0,SUMPRODUCT(('Assignment Calc'!$D$5:$D$132=$A6)*('Assignment Calc'!$H$5:$H$132&lt;&gt;"")*('Assignment Calc'!$H$5:$H$132&lt;=CP$3)*('Assignment Calc'!$I$5:$I$132&gt;=CP$3)*'Assignment Calc'!$K$5:$K$132*'Assignment Calc'!$L$5:$L$132*'Assignment Calc'!$M$5:$M$132))</f>
        <v>0</v>
      </c>
    </row>
    <row r="7" customFormat="false" ht="15" hidden="false" customHeight="true" outlineLevel="0" collapsed="false">
      <c r="A7" s="2" t="s">
        <v>262</v>
      </c>
      <c r="B7" s="23" t="n">
        <f aca="false">SUM(C7:CP7)</f>
        <v>137.25</v>
      </c>
      <c r="C7" s="26" t="n">
        <f aca="false">IF(WEEKDAY(C$3,2)&gt;5,0,SUMPRODUCT(('Assignment Calc'!$D$5:$D$132=$A7)*('Assignment Calc'!$H$5:$H$132&lt;&gt;"")*('Assignment Calc'!$H$5:$H$132&lt;=C$3)*('Assignment Calc'!$I$5:$I$132&gt;=C$3)*'Assignment Calc'!$K$5:$K$132*'Assignment Calc'!$L$5:$L$132*'Assignment Calc'!$M$5:$M$132))</f>
        <v>0</v>
      </c>
      <c r="D7" s="26" t="n">
        <f aca="false">IF(WEEKDAY(D$3,2)&gt;5,0,SUMPRODUCT(('Assignment Calc'!$D$5:$D$132=$A7)*('Assignment Calc'!$H$5:$H$132&lt;&gt;"")*('Assignment Calc'!$H$5:$H$132&lt;=D$3)*('Assignment Calc'!$I$5:$I$132&gt;=D$3)*'Assignment Calc'!$K$5:$K$132*'Assignment Calc'!$L$5:$L$132*'Assignment Calc'!$M$5:$M$132))</f>
        <v>0</v>
      </c>
      <c r="E7" s="26" t="n">
        <f aca="false">IF(WEEKDAY(E$3,2)&gt;5,0,SUMPRODUCT(('Assignment Calc'!$D$5:$D$132=$A7)*('Assignment Calc'!$H$5:$H$132&lt;&gt;"")*('Assignment Calc'!$H$5:$H$132&lt;=E$3)*('Assignment Calc'!$I$5:$I$132&gt;=E$3)*'Assignment Calc'!$K$5:$K$132*'Assignment Calc'!$L$5:$L$132*'Assignment Calc'!$M$5:$M$132))</f>
        <v>0</v>
      </c>
      <c r="F7" s="26" t="n">
        <f aca="false">IF(WEEKDAY(F$3,2)&gt;5,0,SUMPRODUCT(('Assignment Calc'!$D$5:$D$132=$A7)*('Assignment Calc'!$H$5:$H$132&lt;&gt;"")*('Assignment Calc'!$H$5:$H$132&lt;=F$3)*('Assignment Calc'!$I$5:$I$132&gt;=F$3)*'Assignment Calc'!$K$5:$K$132*'Assignment Calc'!$L$5:$L$132*'Assignment Calc'!$M$5:$M$132))</f>
        <v>0</v>
      </c>
      <c r="G7" s="26" t="n">
        <f aca="false">IF(WEEKDAY(G$3,2)&gt;5,0,SUMPRODUCT(('Assignment Calc'!$D$5:$D$132=$A7)*('Assignment Calc'!$H$5:$H$132&lt;&gt;"")*('Assignment Calc'!$H$5:$H$132&lt;=G$3)*('Assignment Calc'!$I$5:$I$132&gt;=G$3)*'Assignment Calc'!$K$5:$K$132*'Assignment Calc'!$L$5:$L$132*'Assignment Calc'!$M$5:$M$132))</f>
        <v>0</v>
      </c>
      <c r="H7" s="26" t="n">
        <f aca="false">IF(WEEKDAY(H$3,2)&gt;5,0,SUMPRODUCT(('Assignment Calc'!$D$5:$D$132=$A7)*('Assignment Calc'!$H$5:$H$132&lt;&gt;"")*('Assignment Calc'!$H$5:$H$132&lt;=H$3)*('Assignment Calc'!$I$5:$I$132&gt;=H$3)*'Assignment Calc'!$K$5:$K$132*'Assignment Calc'!$L$5:$L$132*'Assignment Calc'!$M$5:$M$132))</f>
        <v>0</v>
      </c>
      <c r="I7" s="26" t="n">
        <f aca="false">IF(WEEKDAY(I$3,2)&gt;5,0,SUMPRODUCT(('Assignment Calc'!$D$5:$D$132=$A7)*('Assignment Calc'!$H$5:$H$132&lt;&gt;"")*('Assignment Calc'!$H$5:$H$132&lt;=I$3)*('Assignment Calc'!$I$5:$I$132&gt;=I$3)*'Assignment Calc'!$K$5:$K$132*'Assignment Calc'!$L$5:$L$132*'Assignment Calc'!$M$5:$M$132))</f>
        <v>0</v>
      </c>
      <c r="J7" s="26" t="n">
        <f aca="false">IF(WEEKDAY(J$3,2)&gt;5,0,SUMPRODUCT(('Assignment Calc'!$D$5:$D$132=$A7)*('Assignment Calc'!$H$5:$H$132&lt;&gt;"")*('Assignment Calc'!$H$5:$H$132&lt;=J$3)*('Assignment Calc'!$I$5:$I$132&gt;=J$3)*'Assignment Calc'!$K$5:$K$132*'Assignment Calc'!$L$5:$L$132*'Assignment Calc'!$M$5:$M$132))</f>
        <v>0</v>
      </c>
      <c r="K7" s="26" t="n">
        <f aca="false">IF(WEEKDAY(K$3,2)&gt;5,0,SUMPRODUCT(('Assignment Calc'!$D$5:$D$132=$A7)*('Assignment Calc'!$H$5:$H$132&lt;&gt;"")*('Assignment Calc'!$H$5:$H$132&lt;=K$3)*('Assignment Calc'!$I$5:$I$132&gt;=K$3)*'Assignment Calc'!$K$5:$K$132*'Assignment Calc'!$L$5:$L$132*'Assignment Calc'!$M$5:$M$132))</f>
        <v>0</v>
      </c>
      <c r="L7" s="26" t="n">
        <f aca="false">IF(WEEKDAY(L$3,2)&gt;5,0,SUMPRODUCT(('Assignment Calc'!$D$5:$D$132=$A7)*('Assignment Calc'!$H$5:$H$132&lt;&gt;"")*('Assignment Calc'!$H$5:$H$132&lt;=L$3)*('Assignment Calc'!$I$5:$I$132&gt;=L$3)*'Assignment Calc'!$K$5:$K$132*'Assignment Calc'!$L$5:$L$132*'Assignment Calc'!$M$5:$M$132))</f>
        <v>0</v>
      </c>
      <c r="M7" s="26" t="n">
        <f aca="false">IF(WEEKDAY(M$3,2)&gt;5,0,SUMPRODUCT(('Assignment Calc'!$D$5:$D$132=$A7)*('Assignment Calc'!$H$5:$H$132&lt;&gt;"")*('Assignment Calc'!$H$5:$H$132&lt;=M$3)*('Assignment Calc'!$I$5:$I$132&gt;=M$3)*'Assignment Calc'!$K$5:$K$132*'Assignment Calc'!$L$5:$L$132*'Assignment Calc'!$M$5:$M$132))</f>
        <v>0</v>
      </c>
      <c r="N7" s="26" t="n">
        <f aca="false">IF(WEEKDAY(N$3,2)&gt;5,0,SUMPRODUCT(('Assignment Calc'!$D$5:$D$132=$A7)*('Assignment Calc'!$H$5:$H$132&lt;&gt;"")*('Assignment Calc'!$H$5:$H$132&lt;=N$3)*('Assignment Calc'!$I$5:$I$132&gt;=N$3)*'Assignment Calc'!$K$5:$K$132*'Assignment Calc'!$L$5:$L$132*'Assignment Calc'!$M$5:$M$132))</f>
        <v>4.5</v>
      </c>
      <c r="O7" s="26" t="n">
        <f aca="false">IF(WEEKDAY(O$3,2)&gt;5,0,SUMPRODUCT(('Assignment Calc'!$D$5:$D$132=$A7)*('Assignment Calc'!$H$5:$H$132&lt;&gt;"")*('Assignment Calc'!$H$5:$H$132&lt;=O$3)*('Assignment Calc'!$I$5:$I$132&gt;=O$3)*'Assignment Calc'!$K$5:$K$132*'Assignment Calc'!$L$5:$L$132*'Assignment Calc'!$M$5:$M$132))</f>
        <v>4.5</v>
      </c>
      <c r="P7" s="26" t="n">
        <f aca="false">IF(WEEKDAY(P$3,2)&gt;5,0,SUMPRODUCT(('Assignment Calc'!$D$5:$D$132=$A7)*('Assignment Calc'!$H$5:$H$132&lt;&gt;"")*('Assignment Calc'!$H$5:$H$132&lt;=P$3)*('Assignment Calc'!$I$5:$I$132&gt;=P$3)*'Assignment Calc'!$K$5:$K$132*'Assignment Calc'!$L$5:$L$132*'Assignment Calc'!$M$5:$M$132))</f>
        <v>4.5</v>
      </c>
      <c r="Q7" s="26" t="n">
        <f aca="false">IF(WEEKDAY(Q$3,2)&gt;5,0,SUMPRODUCT(('Assignment Calc'!$D$5:$D$132=$A7)*('Assignment Calc'!$H$5:$H$132&lt;&gt;"")*('Assignment Calc'!$H$5:$H$132&lt;=Q$3)*('Assignment Calc'!$I$5:$I$132&gt;=Q$3)*'Assignment Calc'!$K$5:$K$132*'Assignment Calc'!$L$5:$L$132*'Assignment Calc'!$M$5:$M$132))</f>
        <v>4.5</v>
      </c>
      <c r="R7" s="26" t="n">
        <f aca="false">IF(WEEKDAY(R$3,2)&gt;5,0,SUMPRODUCT(('Assignment Calc'!$D$5:$D$132=$A7)*('Assignment Calc'!$H$5:$H$132&lt;&gt;"")*('Assignment Calc'!$H$5:$H$132&lt;=R$3)*('Assignment Calc'!$I$5:$I$132&gt;=R$3)*'Assignment Calc'!$K$5:$K$132*'Assignment Calc'!$L$5:$L$132*'Assignment Calc'!$M$5:$M$132))</f>
        <v>4.5</v>
      </c>
      <c r="S7" s="26" t="n">
        <f aca="false">IF(WEEKDAY(S$3,2)&gt;5,0,SUMPRODUCT(('Assignment Calc'!$D$5:$D$132=$A7)*('Assignment Calc'!$H$5:$H$132&lt;&gt;"")*('Assignment Calc'!$H$5:$H$132&lt;=S$3)*('Assignment Calc'!$I$5:$I$132&gt;=S$3)*'Assignment Calc'!$K$5:$K$132*'Assignment Calc'!$L$5:$L$132*'Assignment Calc'!$M$5:$M$132))</f>
        <v>0</v>
      </c>
      <c r="T7" s="26" t="n">
        <f aca="false">IF(WEEKDAY(T$3,2)&gt;5,0,SUMPRODUCT(('Assignment Calc'!$D$5:$D$132=$A7)*('Assignment Calc'!$H$5:$H$132&lt;&gt;"")*('Assignment Calc'!$H$5:$H$132&lt;=T$3)*('Assignment Calc'!$I$5:$I$132&gt;=T$3)*'Assignment Calc'!$K$5:$K$132*'Assignment Calc'!$L$5:$L$132*'Assignment Calc'!$M$5:$M$132))</f>
        <v>0</v>
      </c>
      <c r="U7" s="26" t="n">
        <f aca="false">IF(WEEKDAY(U$3,2)&gt;5,0,SUMPRODUCT(('Assignment Calc'!$D$5:$D$132=$A7)*('Assignment Calc'!$H$5:$H$132&lt;&gt;"")*('Assignment Calc'!$H$5:$H$132&lt;=U$3)*('Assignment Calc'!$I$5:$I$132&gt;=U$3)*'Assignment Calc'!$K$5:$K$132*'Assignment Calc'!$L$5:$L$132*'Assignment Calc'!$M$5:$M$132))</f>
        <v>9</v>
      </c>
      <c r="V7" s="26" t="n">
        <f aca="false">IF(WEEKDAY(V$3,2)&gt;5,0,SUMPRODUCT(('Assignment Calc'!$D$5:$D$132=$A7)*('Assignment Calc'!$H$5:$H$132&lt;&gt;"")*('Assignment Calc'!$H$5:$H$132&lt;=V$3)*('Assignment Calc'!$I$5:$I$132&gt;=V$3)*'Assignment Calc'!$K$5:$K$132*'Assignment Calc'!$L$5:$L$132*'Assignment Calc'!$M$5:$M$132))</f>
        <v>9</v>
      </c>
      <c r="W7" s="26" t="n">
        <f aca="false">IF(WEEKDAY(W$3,2)&gt;5,0,SUMPRODUCT(('Assignment Calc'!$D$5:$D$132=$A7)*('Assignment Calc'!$H$5:$H$132&lt;&gt;"")*('Assignment Calc'!$H$5:$H$132&lt;=W$3)*('Assignment Calc'!$I$5:$I$132&gt;=W$3)*'Assignment Calc'!$K$5:$K$132*'Assignment Calc'!$L$5:$L$132*'Assignment Calc'!$M$5:$M$132))</f>
        <v>9</v>
      </c>
      <c r="X7" s="26" t="n">
        <f aca="false">IF(WEEKDAY(X$3,2)&gt;5,0,SUMPRODUCT(('Assignment Calc'!$D$5:$D$132=$A7)*('Assignment Calc'!$H$5:$H$132&lt;&gt;"")*('Assignment Calc'!$H$5:$H$132&lt;=X$3)*('Assignment Calc'!$I$5:$I$132&gt;=X$3)*'Assignment Calc'!$K$5:$K$132*'Assignment Calc'!$L$5:$L$132*'Assignment Calc'!$M$5:$M$132))</f>
        <v>9</v>
      </c>
      <c r="Y7" s="26" t="n">
        <f aca="false">IF(WEEKDAY(Y$3,2)&gt;5,0,SUMPRODUCT(('Assignment Calc'!$D$5:$D$132=$A7)*('Assignment Calc'!$H$5:$H$132&lt;&gt;"")*('Assignment Calc'!$H$5:$H$132&lt;=Y$3)*('Assignment Calc'!$I$5:$I$132&gt;=Y$3)*'Assignment Calc'!$K$5:$K$132*'Assignment Calc'!$L$5:$L$132*'Assignment Calc'!$M$5:$M$132))</f>
        <v>9</v>
      </c>
      <c r="Z7" s="26" t="n">
        <f aca="false">IF(WEEKDAY(Z$3,2)&gt;5,0,SUMPRODUCT(('Assignment Calc'!$D$5:$D$132=$A7)*('Assignment Calc'!$H$5:$H$132&lt;&gt;"")*('Assignment Calc'!$H$5:$H$132&lt;=Z$3)*('Assignment Calc'!$I$5:$I$132&gt;=Z$3)*'Assignment Calc'!$K$5:$K$132*'Assignment Calc'!$L$5:$L$132*'Assignment Calc'!$M$5:$M$132))</f>
        <v>0</v>
      </c>
      <c r="AA7" s="26" t="n">
        <f aca="false">IF(WEEKDAY(AA$3,2)&gt;5,0,SUMPRODUCT(('Assignment Calc'!$D$5:$D$132=$A7)*('Assignment Calc'!$H$5:$H$132&lt;&gt;"")*('Assignment Calc'!$H$5:$H$132&lt;=AA$3)*('Assignment Calc'!$I$5:$I$132&gt;=AA$3)*'Assignment Calc'!$K$5:$K$132*'Assignment Calc'!$L$5:$L$132*'Assignment Calc'!$M$5:$M$132))</f>
        <v>0</v>
      </c>
      <c r="AB7" s="26" t="n">
        <f aca="false">IF(WEEKDAY(AB$3,2)&gt;5,0,SUMPRODUCT(('Assignment Calc'!$D$5:$D$132=$A7)*('Assignment Calc'!$H$5:$H$132&lt;&gt;"")*('Assignment Calc'!$H$5:$H$132&lt;=AB$3)*('Assignment Calc'!$I$5:$I$132&gt;=AB$3)*'Assignment Calc'!$K$5:$K$132*'Assignment Calc'!$L$5:$L$132*'Assignment Calc'!$M$5:$M$132))</f>
        <v>0</v>
      </c>
      <c r="AC7" s="26" t="n">
        <f aca="false">IF(WEEKDAY(AC$3,2)&gt;5,0,SUMPRODUCT(('Assignment Calc'!$D$5:$D$132=$A7)*('Assignment Calc'!$H$5:$H$132&lt;&gt;"")*('Assignment Calc'!$H$5:$H$132&lt;=AC$3)*('Assignment Calc'!$I$5:$I$132&gt;=AC$3)*'Assignment Calc'!$K$5:$K$132*'Assignment Calc'!$L$5:$L$132*'Assignment Calc'!$M$5:$M$132))</f>
        <v>0</v>
      </c>
      <c r="AD7" s="26" t="n">
        <f aca="false">IF(WEEKDAY(AD$3,2)&gt;5,0,SUMPRODUCT(('Assignment Calc'!$D$5:$D$132=$A7)*('Assignment Calc'!$H$5:$H$132&lt;&gt;"")*('Assignment Calc'!$H$5:$H$132&lt;=AD$3)*('Assignment Calc'!$I$5:$I$132&gt;=AD$3)*'Assignment Calc'!$K$5:$K$132*'Assignment Calc'!$L$5:$L$132*'Assignment Calc'!$M$5:$M$132))</f>
        <v>0</v>
      </c>
      <c r="AE7" s="26" t="n">
        <f aca="false">IF(WEEKDAY(AE$3,2)&gt;5,0,SUMPRODUCT(('Assignment Calc'!$D$5:$D$132=$A7)*('Assignment Calc'!$H$5:$H$132&lt;&gt;"")*('Assignment Calc'!$H$5:$H$132&lt;=AE$3)*('Assignment Calc'!$I$5:$I$132&gt;=AE$3)*'Assignment Calc'!$K$5:$K$132*'Assignment Calc'!$L$5:$L$132*'Assignment Calc'!$M$5:$M$132))</f>
        <v>0</v>
      </c>
      <c r="AF7" s="26" t="n">
        <f aca="false">IF(WEEKDAY(AF$3,2)&gt;5,0,SUMPRODUCT(('Assignment Calc'!$D$5:$D$132=$A7)*('Assignment Calc'!$H$5:$H$132&lt;&gt;"")*('Assignment Calc'!$H$5:$H$132&lt;=AF$3)*('Assignment Calc'!$I$5:$I$132&gt;=AF$3)*'Assignment Calc'!$K$5:$K$132*'Assignment Calc'!$L$5:$L$132*'Assignment Calc'!$M$5:$M$132))</f>
        <v>0</v>
      </c>
      <c r="AG7" s="26" t="n">
        <f aca="false">IF(WEEKDAY(AG$3,2)&gt;5,0,SUMPRODUCT(('Assignment Calc'!$D$5:$D$132=$A7)*('Assignment Calc'!$H$5:$H$132&lt;&gt;"")*('Assignment Calc'!$H$5:$H$132&lt;=AG$3)*('Assignment Calc'!$I$5:$I$132&gt;=AG$3)*'Assignment Calc'!$K$5:$K$132*'Assignment Calc'!$L$5:$L$132*'Assignment Calc'!$M$5:$M$132))</f>
        <v>0</v>
      </c>
      <c r="AH7" s="26" t="n">
        <f aca="false">IF(WEEKDAY(AH$3,2)&gt;5,0,SUMPRODUCT(('Assignment Calc'!$D$5:$D$132=$A7)*('Assignment Calc'!$H$5:$H$132&lt;&gt;"")*('Assignment Calc'!$H$5:$H$132&lt;=AH$3)*('Assignment Calc'!$I$5:$I$132&gt;=AH$3)*'Assignment Calc'!$K$5:$K$132*'Assignment Calc'!$L$5:$L$132*'Assignment Calc'!$M$5:$M$132))</f>
        <v>0</v>
      </c>
      <c r="AI7" s="26" t="n">
        <f aca="false">IF(WEEKDAY(AI$3,2)&gt;5,0,SUMPRODUCT(('Assignment Calc'!$D$5:$D$132=$A7)*('Assignment Calc'!$H$5:$H$132&lt;&gt;"")*('Assignment Calc'!$H$5:$H$132&lt;=AI$3)*('Assignment Calc'!$I$5:$I$132&gt;=AI$3)*'Assignment Calc'!$K$5:$K$132*'Assignment Calc'!$L$5:$L$132*'Assignment Calc'!$M$5:$M$132))</f>
        <v>0</v>
      </c>
      <c r="AJ7" s="26" t="n">
        <f aca="false">IF(WEEKDAY(AJ$3,2)&gt;5,0,SUMPRODUCT(('Assignment Calc'!$D$5:$D$132=$A7)*('Assignment Calc'!$H$5:$H$132&lt;&gt;"")*('Assignment Calc'!$H$5:$H$132&lt;=AJ$3)*('Assignment Calc'!$I$5:$I$132&gt;=AJ$3)*'Assignment Calc'!$K$5:$K$132*'Assignment Calc'!$L$5:$L$132*'Assignment Calc'!$M$5:$M$132))</f>
        <v>0</v>
      </c>
      <c r="AK7" s="26" t="n">
        <f aca="false">IF(WEEKDAY(AK$3,2)&gt;5,0,SUMPRODUCT(('Assignment Calc'!$D$5:$D$132=$A7)*('Assignment Calc'!$H$5:$H$132&lt;&gt;"")*('Assignment Calc'!$H$5:$H$132&lt;=AK$3)*('Assignment Calc'!$I$5:$I$132&gt;=AK$3)*'Assignment Calc'!$K$5:$K$132*'Assignment Calc'!$L$5:$L$132*'Assignment Calc'!$M$5:$M$132))</f>
        <v>0</v>
      </c>
      <c r="AL7" s="26" t="n">
        <f aca="false">IF(WEEKDAY(AL$3,2)&gt;5,0,SUMPRODUCT(('Assignment Calc'!$D$5:$D$132=$A7)*('Assignment Calc'!$H$5:$H$132&lt;&gt;"")*('Assignment Calc'!$H$5:$H$132&lt;=AL$3)*('Assignment Calc'!$I$5:$I$132&gt;=AL$3)*'Assignment Calc'!$K$5:$K$132*'Assignment Calc'!$L$5:$L$132*'Assignment Calc'!$M$5:$M$132))</f>
        <v>0</v>
      </c>
      <c r="AM7" s="26" t="n">
        <f aca="false">IF(WEEKDAY(AM$3,2)&gt;5,0,SUMPRODUCT(('Assignment Calc'!$D$5:$D$132=$A7)*('Assignment Calc'!$H$5:$H$132&lt;&gt;"")*('Assignment Calc'!$H$5:$H$132&lt;=AM$3)*('Assignment Calc'!$I$5:$I$132&gt;=AM$3)*'Assignment Calc'!$K$5:$K$132*'Assignment Calc'!$L$5:$L$132*'Assignment Calc'!$M$5:$M$132))</f>
        <v>0</v>
      </c>
      <c r="AN7" s="26" t="n">
        <f aca="false">IF(WEEKDAY(AN$3,2)&gt;5,0,SUMPRODUCT(('Assignment Calc'!$D$5:$D$132=$A7)*('Assignment Calc'!$H$5:$H$132&lt;&gt;"")*('Assignment Calc'!$H$5:$H$132&lt;=AN$3)*('Assignment Calc'!$I$5:$I$132&gt;=AN$3)*'Assignment Calc'!$K$5:$K$132*'Assignment Calc'!$L$5:$L$132*'Assignment Calc'!$M$5:$M$132))</f>
        <v>0</v>
      </c>
      <c r="AO7" s="26" t="n">
        <f aca="false">IF(WEEKDAY(AO$3,2)&gt;5,0,SUMPRODUCT(('Assignment Calc'!$D$5:$D$132=$A7)*('Assignment Calc'!$H$5:$H$132&lt;&gt;"")*('Assignment Calc'!$H$5:$H$132&lt;=AO$3)*('Assignment Calc'!$I$5:$I$132&gt;=AO$3)*'Assignment Calc'!$K$5:$K$132*'Assignment Calc'!$L$5:$L$132*'Assignment Calc'!$M$5:$M$132))</f>
        <v>0</v>
      </c>
      <c r="AP7" s="26" t="n">
        <f aca="false">IF(WEEKDAY(AP$3,2)&gt;5,0,SUMPRODUCT(('Assignment Calc'!$D$5:$D$132=$A7)*('Assignment Calc'!$H$5:$H$132&lt;&gt;"")*('Assignment Calc'!$H$5:$H$132&lt;=AP$3)*('Assignment Calc'!$I$5:$I$132&gt;=AP$3)*'Assignment Calc'!$K$5:$K$132*'Assignment Calc'!$L$5:$L$132*'Assignment Calc'!$M$5:$M$132))</f>
        <v>0</v>
      </c>
      <c r="AQ7" s="26" t="n">
        <f aca="false">IF(WEEKDAY(AQ$3,2)&gt;5,0,SUMPRODUCT(('Assignment Calc'!$D$5:$D$132=$A7)*('Assignment Calc'!$H$5:$H$132&lt;&gt;"")*('Assignment Calc'!$H$5:$H$132&lt;=AQ$3)*('Assignment Calc'!$I$5:$I$132&gt;=AQ$3)*'Assignment Calc'!$K$5:$K$132*'Assignment Calc'!$L$5:$L$132*'Assignment Calc'!$M$5:$M$132))</f>
        <v>0</v>
      </c>
      <c r="AR7" s="26" t="n">
        <f aca="false">IF(WEEKDAY(AR$3,2)&gt;5,0,SUMPRODUCT(('Assignment Calc'!$D$5:$D$132=$A7)*('Assignment Calc'!$H$5:$H$132&lt;&gt;"")*('Assignment Calc'!$H$5:$H$132&lt;=AR$3)*('Assignment Calc'!$I$5:$I$132&gt;=AR$3)*'Assignment Calc'!$K$5:$K$132*'Assignment Calc'!$L$5:$L$132*'Assignment Calc'!$M$5:$M$132))</f>
        <v>0</v>
      </c>
      <c r="AS7" s="26" t="n">
        <f aca="false">IF(WEEKDAY(AS$3,2)&gt;5,0,SUMPRODUCT(('Assignment Calc'!$D$5:$D$132=$A7)*('Assignment Calc'!$H$5:$H$132&lt;&gt;"")*('Assignment Calc'!$H$5:$H$132&lt;=AS$3)*('Assignment Calc'!$I$5:$I$132&gt;=AS$3)*'Assignment Calc'!$K$5:$K$132*'Assignment Calc'!$L$5:$L$132*'Assignment Calc'!$M$5:$M$132))</f>
        <v>0</v>
      </c>
      <c r="AT7" s="26" t="n">
        <f aca="false">IF(WEEKDAY(AT$3,2)&gt;5,0,SUMPRODUCT(('Assignment Calc'!$D$5:$D$132=$A7)*('Assignment Calc'!$H$5:$H$132&lt;&gt;"")*('Assignment Calc'!$H$5:$H$132&lt;=AT$3)*('Assignment Calc'!$I$5:$I$132&gt;=AT$3)*'Assignment Calc'!$K$5:$K$132*'Assignment Calc'!$L$5:$L$132*'Assignment Calc'!$M$5:$M$132))</f>
        <v>0</v>
      </c>
      <c r="AU7" s="26" t="n">
        <f aca="false">IF(WEEKDAY(AU$3,2)&gt;5,0,SUMPRODUCT(('Assignment Calc'!$D$5:$D$132=$A7)*('Assignment Calc'!$H$5:$H$132&lt;&gt;"")*('Assignment Calc'!$H$5:$H$132&lt;=AU$3)*('Assignment Calc'!$I$5:$I$132&gt;=AU$3)*'Assignment Calc'!$K$5:$K$132*'Assignment Calc'!$L$5:$L$132*'Assignment Calc'!$M$5:$M$132))</f>
        <v>0</v>
      </c>
      <c r="AV7" s="26" t="n">
        <f aca="false">IF(WEEKDAY(AV$3,2)&gt;5,0,SUMPRODUCT(('Assignment Calc'!$D$5:$D$132=$A7)*('Assignment Calc'!$H$5:$H$132&lt;&gt;"")*('Assignment Calc'!$H$5:$H$132&lt;=AV$3)*('Assignment Calc'!$I$5:$I$132&gt;=AV$3)*'Assignment Calc'!$K$5:$K$132*'Assignment Calc'!$L$5:$L$132*'Assignment Calc'!$M$5:$M$132))</f>
        <v>0</v>
      </c>
      <c r="AW7" s="26" t="n">
        <f aca="false">IF(WEEKDAY(AW$3,2)&gt;5,0,SUMPRODUCT(('Assignment Calc'!$D$5:$D$132=$A7)*('Assignment Calc'!$H$5:$H$132&lt;&gt;"")*('Assignment Calc'!$H$5:$H$132&lt;=AW$3)*('Assignment Calc'!$I$5:$I$132&gt;=AW$3)*'Assignment Calc'!$K$5:$K$132*'Assignment Calc'!$L$5:$L$132*'Assignment Calc'!$M$5:$M$132))</f>
        <v>0</v>
      </c>
      <c r="AX7" s="26" t="n">
        <f aca="false">IF(WEEKDAY(AX$3,2)&gt;5,0,SUMPRODUCT(('Assignment Calc'!$D$5:$D$132=$A7)*('Assignment Calc'!$H$5:$H$132&lt;&gt;"")*('Assignment Calc'!$H$5:$H$132&lt;=AX$3)*('Assignment Calc'!$I$5:$I$132&gt;=AX$3)*'Assignment Calc'!$K$5:$K$132*'Assignment Calc'!$L$5:$L$132*'Assignment Calc'!$M$5:$M$132))</f>
        <v>0</v>
      </c>
      <c r="AY7" s="26" t="n">
        <f aca="false">IF(WEEKDAY(AY$3,2)&gt;5,0,SUMPRODUCT(('Assignment Calc'!$D$5:$D$132=$A7)*('Assignment Calc'!$H$5:$H$132&lt;&gt;"")*('Assignment Calc'!$H$5:$H$132&lt;=AY$3)*('Assignment Calc'!$I$5:$I$132&gt;=AY$3)*'Assignment Calc'!$K$5:$K$132*'Assignment Calc'!$L$5:$L$132*'Assignment Calc'!$M$5:$M$132))</f>
        <v>0</v>
      </c>
      <c r="AZ7" s="26" t="n">
        <f aca="false">IF(WEEKDAY(AZ$3,2)&gt;5,0,SUMPRODUCT(('Assignment Calc'!$D$5:$D$132=$A7)*('Assignment Calc'!$H$5:$H$132&lt;&gt;"")*('Assignment Calc'!$H$5:$H$132&lt;=AZ$3)*('Assignment Calc'!$I$5:$I$132&gt;=AZ$3)*'Assignment Calc'!$K$5:$K$132*'Assignment Calc'!$L$5:$L$132*'Assignment Calc'!$M$5:$M$132))</f>
        <v>0</v>
      </c>
      <c r="BA7" s="26" t="n">
        <f aca="false">IF(WEEKDAY(BA$3,2)&gt;5,0,SUMPRODUCT(('Assignment Calc'!$D$5:$D$132=$A7)*('Assignment Calc'!$H$5:$H$132&lt;&gt;"")*('Assignment Calc'!$H$5:$H$132&lt;=BA$3)*('Assignment Calc'!$I$5:$I$132&gt;=BA$3)*'Assignment Calc'!$K$5:$K$132*'Assignment Calc'!$L$5:$L$132*'Assignment Calc'!$M$5:$M$132))</f>
        <v>0</v>
      </c>
      <c r="BB7" s="26" t="n">
        <f aca="false">IF(WEEKDAY(BB$3,2)&gt;5,0,SUMPRODUCT(('Assignment Calc'!$D$5:$D$132=$A7)*('Assignment Calc'!$H$5:$H$132&lt;&gt;"")*('Assignment Calc'!$H$5:$H$132&lt;=BB$3)*('Assignment Calc'!$I$5:$I$132&gt;=BB$3)*'Assignment Calc'!$K$5:$K$132*'Assignment Calc'!$L$5:$L$132*'Assignment Calc'!$M$5:$M$132))</f>
        <v>0</v>
      </c>
      <c r="BC7" s="26" t="n">
        <f aca="false">IF(WEEKDAY(BC$3,2)&gt;5,0,SUMPRODUCT(('Assignment Calc'!$D$5:$D$132=$A7)*('Assignment Calc'!$H$5:$H$132&lt;&gt;"")*('Assignment Calc'!$H$5:$H$132&lt;=BC$3)*('Assignment Calc'!$I$5:$I$132&gt;=BC$3)*'Assignment Calc'!$K$5:$K$132*'Assignment Calc'!$L$5:$L$132*'Assignment Calc'!$M$5:$M$132))</f>
        <v>0</v>
      </c>
      <c r="BD7" s="26" t="n">
        <f aca="false">IF(WEEKDAY(BD$3,2)&gt;5,0,SUMPRODUCT(('Assignment Calc'!$D$5:$D$132=$A7)*('Assignment Calc'!$H$5:$H$132&lt;&gt;"")*('Assignment Calc'!$H$5:$H$132&lt;=BD$3)*('Assignment Calc'!$I$5:$I$132&gt;=BD$3)*'Assignment Calc'!$K$5:$K$132*'Assignment Calc'!$L$5:$L$132*'Assignment Calc'!$M$5:$M$132))</f>
        <v>0</v>
      </c>
      <c r="BE7" s="26" t="n">
        <f aca="false">IF(WEEKDAY(BE$3,2)&gt;5,0,SUMPRODUCT(('Assignment Calc'!$D$5:$D$132=$A7)*('Assignment Calc'!$H$5:$H$132&lt;&gt;"")*('Assignment Calc'!$H$5:$H$132&lt;=BE$3)*('Assignment Calc'!$I$5:$I$132&gt;=BE$3)*'Assignment Calc'!$K$5:$K$132*'Assignment Calc'!$L$5:$L$132*'Assignment Calc'!$M$5:$M$132))</f>
        <v>0</v>
      </c>
      <c r="BF7" s="26" t="n">
        <f aca="false">IF(WEEKDAY(BF$3,2)&gt;5,0,SUMPRODUCT(('Assignment Calc'!$D$5:$D$132=$A7)*('Assignment Calc'!$H$5:$H$132&lt;&gt;"")*('Assignment Calc'!$H$5:$H$132&lt;=BF$3)*('Assignment Calc'!$I$5:$I$132&gt;=BF$3)*'Assignment Calc'!$K$5:$K$132*'Assignment Calc'!$L$5:$L$132*'Assignment Calc'!$M$5:$M$132))</f>
        <v>0</v>
      </c>
      <c r="BG7" s="26" t="n">
        <f aca="false">IF(WEEKDAY(BG$3,2)&gt;5,0,SUMPRODUCT(('Assignment Calc'!$D$5:$D$132=$A7)*('Assignment Calc'!$H$5:$H$132&lt;&gt;"")*('Assignment Calc'!$H$5:$H$132&lt;=BG$3)*('Assignment Calc'!$I$5:$I$132&gt;=BG$3)*'Assignment Calc'!$K$5:$K$132*'Assignment Calc'!$L$5:$L$132*'Assignment Calc'!$M$5:$M$132))</f>
        <v>0</v>
      </c>
      <c r="BH7" s="26" t="n">
        <f aca="false">IF(WEEKDAY(BH$3,2)&gt;5,0,SUMPRODUCT(('Assignment Calc'!$D$5:$D$132=$A7)*('Assignment Calc'!$H$5:$H$132&lt;&gt;"")*('Assignment Calc'!$H$5:$H$132&lt;=BH$3)*('Assignment Calc'!$I$5:$I$132&gt;=BH$3)*'Assignment Calc'!$K$5:$K$132*'Assignment Calc'!$L$5:$L$132*'Assignment Calc'!$M$5:$M$132))</f>
        <v>0</v>
      </c>
      <c r="BI7" s="26" t="n">
        <f aca="false">IF(WEEKDAY(BI$3,2)&gt;5,0,SUMPRODUCT(('Assignment Calc'!$D$5:$D$132=$A7)*('Assignment Calc'!$H$5:$H$132&lt;&gt;"")*('Assignment Calc'!$H$5:$H$132&lt;=BI$3)*('Assignment Calc'!$I$5:$I$132&gt;=BI$3)*'Assignment Calc'!$K$5:$K$132*'Assignment Calc'!$L$5:$L$132*'Assignment Calc'!$M$5:$M$132))</f>
        <v>0</v>
      </c>
      <c r="BJ7" s="26" t="n">
        <f aca="false">IF(WEEKDAY(BJ$3,2)&gt;5,0,SUMPRODUCT(('Assignment Calc'!$D$5:$D$132=$A7)*('Assignment Calc'!$H$5:$H$132&lt;&gt;"")*('Assignment Calc'!$H$5:$H$132&lt;=BJ$3)*('Assignment Calc'!$I$5:$I$132&gt;=BJ$3)*'Assignment Calc'!$K$5:$K$132*'Assignment Calc'!$L$5:$L$132*'Assignment Calc'!$M$5:$M$132))</f>
        <v>0</v>
      </c>
      <c r="BK7" s="26" t="n">
        <f aca="false">IF(WEEKDAY(BK$3,2)&gt;5,0,SUMPRODUCT(('Assignment Calc'!$D$5:$D$132=$A7)*('Assignment Calc'!$H$5:$H$132&lt;&gt;"")*('Assignment Calc'!$H$5:$H$132&lt;=BK$3)*('Assignment Calc'!$I$5:$I$132&gt;=BK$3)*'Assignment Calc'!$K$5:$K$132*'Assignment Calc'!$L$5:$L$132*'Assignment Calc'!$M$5:$M$132))</f>
        <v>4.5</v>
      </c>
      <c r="BL7" s="26" t="n">
        <f aca="false">IF(WEEKDAY(BL$3,2)&gt;5,0,SUMPRODUCT(('Assignment Calc'!$D$5:$D$132=$A7)*('Assignment Calc'!$H$5:$H$132&lt;&gt;"")*('Assignment Calc'!$H$5:$H$132&lt;=BL$3)*('Assignment Calc'!$I$5:$I$132&gt;=BL$3)*'Assignment Calc'!$K$5:$K$132*'Assignment Calc'!$L$5:$L$132*'Assignment Calc'!$M$5:$M$132))</f>
        <v>0</v>
      </c>
      <c r="BM7" s="26" t="n">
        <f aca="false">IF(WEEKDAY(BM$3,2)&gt;5,0,SUMPRODUCT(('Assignment Calc'!$D$5:$D$132=$A7)*('Assignment Calc'!$H$5:$H$132&lt;&gt;"")*('Assignment Calc'!$H$5:$H$132&lt;=BM$3)*('Assignment Calc'!$I$5:$I$132&gt;=BM$3)*'Assignment Calc'!$K$5:$K$132*'Assignment Calc'!$L$5:$L$132*'Assignment Calc'!$M$5:$M$132))</f>
        <v>0</v>
      </c>
      <c r="BN7" s="26" t="n">
        <f aca="false">IF(WEEKDAY(BN$3,2)&gt;5,0,SUMPRODUCT(('Assignment Calc'!$D$5:$D$132=$A7)*('Assignment Calc'!$H$5:$H$132&lt;&gt;"")*('Assignment Calc'!$H$5:$H$132&lt;=BN$3)*('Assignment Calc'!$I$5:$I$132&gt;=BN$3)*'Assignment Calc'!$K$5:$K$132*'Assignment Calc'!$L$5:$L$132*'Assignment Calc'!$M$5:$M$132))</f>
        <v>0</v>
      </c>
      <c r="BO7" s="26" t="n">
        <f aca="false">IF(WEEKDAY(BO$3,2)&gt;5,0,SUMPRODUCT(('Assignment Calc'!$D$5:$D$132=$A7)*('Assignment Calc'!$H$5:$H$132&lt;&gt;"")*('Assignment Calc'!$H$5:$H$132&lt;=BO$3)*('Assignment Calc'!$I$5:$I$132&gt;=BO$3)*'Assignment Calc'!$K$5:$K$132*'Assignment Calc'!$L$5:$L$132*'Assignment Calc'!$M$5:$M$132))</f>
        <v>0</v>
      </c>
      <c r="BP7" s="26" t="n">
        <f aca="false">IF(WEEKDAY(BP$3,2)&gt;5,0,SUMPRODUCT(('Assignment Calc'!$D$5:$D$132=$A7)*('Assignment Calc'!$H$5:$H$132&lt;&gt;"")*('Assignment Calc'!$H$5:$H$132&lt;=BP$3)*('Assignment Calc'!$I$5:$I$132&gt;=BP$3)*'Assignment Calc'!$K$5:$K$132*'Assignment Calc'!$L$5:$L$132*'Assignment Calc'!$M$5:$M$132))</f>
        <v>0</v>
      </c>
      <c r="BQ7" s="26" t="n">
        <f aca="false">IF(WEEKDAY(BQ$3,2)&gt;5,0,SUMPRODUCT(('Assignment Calc'!$D$5:$D$132=$A7)*('Assignment Calc'!$H$5:$H$132&lt;&gt;"")*('Assignment Calc'!$H$5:$H$132&lt;=BQ$3)*('Assignment Calc'!$I$5:$I$132&gt;=BQ$3)*'Assignment Calc'!$K$5:$K$132*'Assignment Calc'!$L$5:$L$132*'Assignment Calc'!$M$5:$M$132))</f>
        <v>0</v>
      </c>
      <c r="BR7" s="26" t="n">
        <f aca="false">IF(WEEKDAY(BR$3,2)&gt;5,0,SUMPRODUCT(('Assignment Calc'!$D$5:$D$132=$A7)*('Assignment Calc'!$H$5:$H$132&lt;&gt;"")*('Assignment Calc'!$H$5:$H$132&lt;=BR$3)*('Assignment Calc'!$I$5:$I$132&gt;=BR$3)*'Assignment Calc'!$K$5:$K$132*'Assignment Calc'!$L$5:$L$132*'Assignment Calc'!$M$5:$M$132))</f>
        <v>0</v>
      </c>
      <c r="BS7" s="26" t="n">
        <f aca="false">IF(WEEKDAY(BS$3,2)&gt;5,0,SUMPRODUCT(('Assignment Calc'!$D$5:$D$132=$A7)*('Assignment Calc'!$H$5:$H$132&lt;&gt;"")*('Assignment Calc'!$H$5:$H$132&lt;=BS$3)*('Assignment Calc'!$I$5:$I$132&gt;=BS$3)*'Assignment Calc'!$K$5:$K$132*'Assignment Calc'!$L$5:$L$132*'Assignment Calc'!$M$5:$M$132))</f>
        <v>0</v>
      </c>
      <c r="BT7" s="26" t="n">
        <f aca="false">IF(WEEKDAY(BT$3,2)&gt;5,0,SUMPRODUCT(('Assignment Calc'!$D$5:$D$132=$A7)*('Assignment Calc'!$H$5:$H$132&lt;&gt;"")*('Assignment Calc'!$H$5:$H$132&lt;=BT$3)*('Assignment Calc'!$I$5:$I$132&gt;=BT$3)*'Assignment Calc'!$K$5:$K$132*'Assignment Calc'!$L$5:$L$132*'Assignment Calc'!$M$5:$M$132))</f>
        <v>0</v>
      </c>
      <c r="BU7" s="26" t="n">
        <f aca="false">IF(WEEKDAY(BU$3,2)&gt;5,0,SUMPRODUCT(('Assignment Calc'!$D$5:$D$132=$A7)*('Assignment Calc'!$H$5:$H$132&lt;&gt;"")*('Assignment Calc'!$H$5:$H$132&lt;=BU$3)*('Assignment Calc'!$I$5:$I$132&gt;=BU$3)*'Assignment Calc'!$K$5:$K$132*'Assignment Calc'!$L$5:$L$132*'Assignment Calc'!$M$5:$M$132))</f>
        <v>0</v>
      </c>
      <c r="BV7" s="26" t="n">
        <f aca="false">IF(WEEKDAY(BV$3,2)&gt;5,0,SUMPRODUCT(('Assignment Calc'!$D$5:$D$132=$A7)*('Assignment Calc'!$H$5:$H$132&lt;&gt;"")*('Assignment Calc'!$H$5:$H$132&lt;=BV$3)*('Assignment Calc'!$I$5:$I$132&gt;=BV$3)*'Assignment Calc'!$K$5:$K$132*'Assignment Calc'!$L$5:$L$132*'Assignment Calc'!$M$5:$M$132))</f>
        <v>0</v>
      </c>
      <c r="BW7" s="26" t="n">
        <f aca="false">IF(WEEKDAY(BW$3,2)&gt;5,0,SUMPRODUCT(('Assignment Calc'!$D$5:$D$132=$A7)*('Assignment Calc'!$H$5:$H$132&lt;&gt;"")*('Assignment Calc'!$H$5:$H$132&lt;=BW$3)*('Assignment Calc'!$I$5:$I$132&gt;=BW$3)*'Assignment Calc'!$K$5:$K$132*'Assignment Calc'!$L$5:$L$132*'Assignment Calc'!$M$5:$M$132))</f>
        <v>0</v>
      </c>
      <c r="BX7" s="26" t="n">
        <f aca="false">IF(WEEKDAY(BX$3,2)&gt;5,0,SUMPRODUCT(('Assignment Calc'!$D$5:$D$132=$A7)*('Assignment Calc'!$H$5:$H$132&lt;&gt;"")*('Assignment Calc'!$H$5:$H$132&lt;=BX$3)*('Assignment Calc'!$I$5:$I$132&gt;=BX$3)*'Assignment Calc'!$K$5:$K$132*'Assignment Calc'!$L$5:$L$132*'Assignment Calc'!$M$5:$M$132))</f>
        <v>0</v>
      </c>
      <c r="BY7" s="26" t="n">
        <f aca="false">IF(WEEKDAY(BY$3,2)&gt;5,0,SUMPRODUCT(('Assignment Calc'!$D$5:$D$132=$A7)*('Assignment Calc'!$H$5:$H$132&lt;&gt;"")*('Assignment Calc'!$H$5:$H$132&lt;=BY$3)*('Assignment Calc'!$I$5:$I$132&gt;=BY$3)*'Assignment Calc'!$K$5:$K$132*'Assignment Calc'!$L$5:$L$132*'Assignment Calc'!$M$5:$M$132))</f>
        <v>2.25</v>
      </c>
      <c r="BZ7" s="26" t="n">
        <f aca="false">IF(WEEKDAY(BZ$3,2)&gt;5,0,SUMPRODUCT(('Assignment Calc'!$D$5:$D$132=$A7)*('Assignment Calc'!$H$5:$H$132&lt;&gt;"")*('Assignment Calc'!$H$5:$H$132&lt;=BZ$3)*('Assignment Calc'!$I$5:$I$132&gt;=BZ$3)*'Assignment Calc'!$K$5:$K$132*'Assignment Calc'!$L$5:$L$132*'Assignment Calc'!$M$5:$M$132))</f>
        <v>2.25</v>
      </c>
      <c r="CA7" s="26" t="n">
        <f aca="false">IF(WEEKDAY(CA$3,2)&gt;5,0,SUMPRODUCT(('Assignment Calc'!$D$5:$D$132=$A7)*('Assignment Calc'!$H$5:$H$132&lt;&gt;"")*('Assignment Calc'!$H$5:$H$132&lt;=CA$3)*('Assignment Calc'!$I$5:$I$132&gt;=CA$3)*'Assignment Calc'!$K$5:$K$132*'Assignment Calc'!$L$5:$L$132*'Assignment Calc'!$M$5:$M$132))</f>
        <v>2.25</v>
      </c>
      <c r="CB7" s="26" t="n">
        <f aca="false">IF(WEEKDAY(CB$3,2)&gt;5,0,SUMPRODUCT(('Assignment Calc'!$D$5:$D$132=$A7)*('Assignment Calc'!$H$5:$H$132&lt;&gt;"")*('Assignment Calc'!$H$5:$H$132&lt;=CB$3)*('Assignment Calc'!$I$5:$I$132&gt;=CB$3)*'Assignment Calc'!$K$5:$K$132*'Assignment Calc'!$L$5:$L$132*'Assignment Calc'!$M$5:$M$132))</f>
        <v>2.25</v>
      </c>
      <c r="CC7" s="26" t="n">
        <f aca="false">IF(WEEKDAY(CC$3,2)&gt;5,0,SUMPRODUCT(('Assignment Calc'!$D$5:$D$132=$A7)*('Assignment Calc'!$H$5:$H$132&lt;&gt;"")*('Assignment Calc'!$H$5:$H$132&lt;=CC$3)*('Assignment Calc'!$I$5:$I$132&gt;=CC$3)*'Assignment Calc'!$K$5:$K$132*'Assignment Calc'!$L$5:$L$132*'Assignment Calc'!$M$5:$M$132))</f>
        <v>2.25</v>
      </c>
      <c r="CD7" s="26" t="n">
        <f aca="false">IF(WEEKDAY(CD$3,2)&gt;5,0,SUMPRODUCT(('Assignment Calc'!$D$5:$D$132=$A7)*('Assignment Calc'!$H$5:$H$132&lt;&gt;"")*('Assignment Calc'!$H$5:$H$132&lt;=CD$3)*('Assignment Calc'!$I$5:$I$132&gt;=CD$3)*'Assignment Calc'!$K$5:$K$132*'Assignment Calc'!$L$5:$L$132*'Assignment Calc'!$M$5:$M$132))</f>
        <v>0</v>
      </c>
      <c r="CE7" s="26" t="n">
        <f aca="false">IF(WEEKDAY(CE$3,2)&gt;5,0,SUMPRODUCT(('Assignment Calc'!$D$5:$D$132=$A7)*('Assignment Calc'!$H$5:$H$132&lt;&gt;"")*('Assignment Calc'!$H$5:$H$132&lt;=CE$3)*('Assignment Calc'!$I$5:$I$132&gt;=CE$3)*'Assignment Calc'!$K$5:$K$132*'Assignment Calc'!$L$5:$L$132*'Assignment Calc'!$M$5:$M$132))</f>
        <v>0</v>
      </c>
      <c r="CF7" s="26" t="n">
        <f aca="false">IF(WEEKDAY(CF$3,2)&gt;5,0,SUMPRODUCT(('Assignment Calc'!$D$5:$D$132=$A7)*('Assignment Calc'!$H$5:$H$132&lt;&gt;"")*('Assignment Calc'!$H$5:$H$132&lt;=CF$3)*('Assignment Calc'!$I$5:$I$132&gt;=CF$3)*'Assignment Calc'!$K$5:$K$132*'Assignment Calc'!$L$5:$L$132*'Assignment Calc'!$M$5:$M$132))</f>
        <v>0</v>
      </c>
      <c r="CG7" s="26" t="n">
        <f aca="false">IF(WEEKDAY(CG$3,2)&gt;5,0,SUMPRODUCT(('Assignment Calc'!$D$5:$D$132=$A7)*('Assignment Calc'!$H$5:$H$132&lt;&gt;"")*('Assignment Calc'!$H$5:$H$132&lt;=CG$3)*('Assignment Calc'!$I$5:$I$132&gt;=CG$3)*'Assignment Calc'!$K$5:$K$132*'Assignment Calc'!$L$5:$L$132*'Assignment Calc'!$M$5:$M$132))</f>
        <v>0</v>
      </c>
      <c r="CH7" s="26" t="n">
        <f aca="false">IF(WEEKDAY(CH$3,2)&gt;5,0,SUMPRODUCT(('Assignment Calc'!$D$5:$D$132=$A7)*('Assignment Calc'!$H$5:$H$132&lt;&gt;"")*('Assignment Calc'!$H$5:$H$132&lt;=CH$3)*('Assignment Calc'!$I$5:$I$132&gt;=CH$3)*'Assignment Calc'!$K$5:$K$132*'Assignment Calc'!$L$5:$L$132*'Assignment Calc'!$M$5:$M$132))</f>
        <v>0</v>
      </c>
      <c r="CI7" s="26" t="n">
        <f aca="false">IF(WEEKDAY(CI$3,2)&gt;5,0,SUMPRODUCT(('Assignment Calc'!$D$5:$D$132=$A7)*('Assignment Calc'!$H$5:$H$132&lt;&gt;"")*('Assignment Calc'!$H$5:$H$132&lt;=CI$3)*('Assignment Calc'!$I$5:$I$132&gt;=CI$3)*'Assignment Calc'!$K$5:$K$132*'Assignment Calc'!$L$5:$L$132*'Assignment Calc'!$M$5:$M$132))</f>
        <v>0</v>
      </c>
      <c r="CJ7" s="26" t="n">
        <f aca="false">IF(WEEKDAY(CJ$3,2)&gt;5,0,SUMPRODUCT(('Assignment Calc'!$D$5:$D$132=$A7)*('Assignment Calc'!$H$5:$H$132&lt;&gt;"")*('Assignment Calc'!$H$5:$H$132&lt;=CJ$3)*('Assignment Calc'!$I$5:$I$132&gt;=CJ$3)*'Assignment Calc'!$K$5:$K$132*'Assignment Calc'!$L$5:$L$132*'Assignment Calc'!$M$5:$M$132))</f>
        <v>0</v>
      </c>
      <c r="CK7" s="26" t="n">
        <f aca="false">IF(WEEKDAY(CK$3,2)&gt;5,0,SUMPRODUCT(('Assignment Calc'!$D$5:$D$132=$A7)*('Assignment Calc'!$H$5:$H$132&lt;&gt;"")*('Assignment Calc'!$H$5:$H$132&lt;=CK$3)*('Assignment Calc'!$I$5:$I$132&gt;=CK$3)*'Assignment Calc'!$K$5:$K$132*'Assignment Calc'!$L$5:$L$132*'Assignment Calc'!$M$5:$M$132))</f>
        <v>0</v>
      </c>
      <c r="CL7" s="26" t="n">
        <f aca="false">IF(WEEKDAY(CL$3,2)&gt;5,0,SUMPRODUCT(('Assignment Calc'!$D$5:$D$132=$A7)*('Assignment Calc'!$H$5:$H$132&lt;&gt;"")*('Assignment Calc'!$H$5:$H$132&lt;=CL$3)*('Assignment Calc'!$I$5:$I$132&gt;=CL$3)*'Assignment Calc'!$K$5:$K$132*'Assignment Calc'!$L$5:$L$132*'Assignment Calc'!$M$5:$M$132))</f>
        <v>0</v>
      </c>
      <c r="CM7" s="26" t="n">
        <f aca="false">IF(WEEKDAY(CM$3,2)&gt;5,0,SUMPRODUCT(('Assignment Calc'!$D$5:$D$132=$A7)*('Assignment Calc'!$H$5:$H$132&lt;&gt;"")*('Assignment Calc'!$H$5:$H$132&lt;=CM$3)*('Assignment Calc'!$I$5:$I$132&gt;=CM$3)*'Assignment Calc'!$K$5:$K$132*'Assignment Calc'!$L$5:$L$132*'Assignment Calc'!$M$5:$M$132))</f>
        <v>13.5</v>
      </c>
      <c r="CN7" s="26" t="n">
        <f aca="false">IF(WEEKDAY(CN$3,2)&gt;5,0,SUMPRODUCT(('Assignment Calc'!$D$5:$D$132=$A7)*('Assignment Calc'!$H$5:$H$132&lt;&gt;"")*('Assignment Calc'!$H$5:$H$132&lt;=CN$3)*('Assignment Calc'!$I$5:$I$132&gt;=CN$3)*'Assignment Calc'!$K$5:$K$132*'Assignment Calc'!$L$5:$L$132*'Assignment Calc'!$M$5:$M$132))</f>
        <v>13.5</v>
      </c>
      <c r="CO7" s="26" t="n">
        <f aca="false">IF(WEEKDAY(CO$3,2)&gt;5,0,SUMPRODUCT(('Assignment Calc'!$D$5:$D$132=$A7)*('Assignment Calc'!$H$5:$H$132&lt;&gt;"")*('Assignment Calc'!$H$5:$H$132&lt;=CO$3)*('Assignment Calc'!$I$5:$I$132&gt;=CO$3)*'Assignment Calc'!$K$5:$K$132*'Assignment Calc'!$L$5:$L$132*'Assignment Calc'!$M$5:$M$132))</f>
        <v>13.5</v>
      </c>
      <c r="CP7" s="26" t="n">
        <f aca="false">IF(WEEKDAY(CP$3,2)&gt;5,0,SUMPRODUCT(('Assignment Calc'!$D$5:$D$132=$A7)*('Assignment Calc'!$H$5:$H$132&lt;&gt;"")*('Assignment Calc'!$H$5:$H$132&lt;=CP$3)*('Assignment Calc'!$I$5:$I$132&gt;=CP$3)*'Assignment Calc'!$K$5:$K$132*'Assignment Calc'!$L$5:$L$132*'Assignment Calc'!$M$5:$M$132))</f>
        <v>13.5</v>
      </c>
    </row>
    <row r="8" customFormat="false" ht="15" hidden="false" customHeight="true" outlineLevel="0" collapsed="false">
      <c r="A8" s="2" t="s">
        <v>298</v>
      </c>
      <c r="B8" s="23" t="n">
        <f aca="false">SUM(C8:CP8)</f>
        <v>25</v>
      </c>
      <c r="C8" s="26" t="n">
        <f aca="false">IF(WEEKDAY(C$3,2)&gt;5,0,SUMPRODUCT(('Assignment Calc'!$D$5:$D$132=$A8)*('Assignment Calc'!$H$5:$H$132&lt;&gt;"")*('Assignment Calc'!$H$5:$H$132&lt;=C$3)*('Assignment Calc'!$I$5:$I$132&gt;=C$3)*'Assignment Calc'!$K$5:$K$132*'Assignment Calc'!$L$5:$L$132*'Assignment Calc'!$M$5:$M$132))</f>
        <v>0</v>
      </c>
      <c r="D8" s="26" t="n">
        <f aca="false">IF(WEEKDAY(D$3,2)&gt;5,0,SUMPRODUCT(('Assignment Calc'!$D$5:$D$132=$A8)*('Assignment Calc'!$H$5:$H$132&lt;&gt;"")*('Assignment Calc'!$H$5:$H$132&lt;=D$3)*('Assignment Calc'!$I$5:$I$132&gt;=D$3)*'Assignment Calc'!$K$5:$K$132*'Assignment Calc'!$L$5:$L$132*'Assignment Calc'!$M$5:$M$132))</f>
        <v>0</v>
      </c>
      <c r="E8" s="26" t="n">
        <f aca="false">IF(WEEKDAY(E$3,2)&gt;5,0,SUMPRODUCT(('Assignment Calc'!$D$5:$D$132=$A8)*('Assignment Calc'!$H$5:$H$132&lt;&gt;"")*('Assignment Calc'!$H$5:$H$132&lt;=E$3)*('Assignment Calc'!$I$5:$I$132&gt;=E$3)*'Assignment Calc'!$K$5:$K$132*'Assignment Calc'!$L$5:$L$132*'Assignment Calc'!$M$5:$M$132))</f>
        <v>0</v>
      </c>
      <c r="F8" s="26" t="n">
        <f aca="false">IF(WEEKDAY(F$3,2)&gt;5,0,SUMPRODUCT(('Assignment Calc'!$D$5:$D$132=$A8)*('Assignment Calc'!$H$5:$H$132&lt;&gt;"")*('Assignment Calc'!$H$5:$H$132&lt;=F$3)*('Assignment Calc'!$I$5:$I$132&gt;=F$3)*'Assignment Calc'!$K$5:$K$132*'Assignment Calc'!$L$5:$L$132*'Assignment Calc'!$M$5:$M$132))</f>
        <v>0</v>
      </c>
      <c r="G8" s="26" t="n">
        <f aca="false">IF(WEEKDAY(G$3,2)&gt;5,0,SUMPRODUCT(('Assignment Calc'!$D$5:$D$132=$A8)*('Assignment Calc'!$H$5:$H$132&lt;&gt;"")*('Assignment Calc'!$H$5:$H$132&lt;=G$3)*('Assignment Calc'!$I$5:$I$132&gt;=G$3)*'Assignment Calc'!$K$5:$K$132*'Assignment Calc'!$L$5:$L$132*'Assignment Calc'!$M$5:$M$132))</f>
        <v>0</v>
      </c>
      <c r="H8" s="26" t="n">
        <f aca="false">IF(WEEKDAY(H$3,2)&gt;5,0,SUMPRODUCT(('Assignment Calc'!$D$5:$D$132=$A8)*('Assignment Calc'!$H$5:$H$132&lt;&gt;"")*('Assignment Calc'!$H$5:$H$132&lt;=H$3)*('Assignment Calc'!$I$5:$I$132&gt;=H$3)*'Assignment Calc'!$K$5:$K$132*'Assignment Calc'!$L$5:$L$132*'Assignment Calc'!$M$5:$M$132))</f>
        <v>0</v>
      </c>
      <c r="I8" s="26" t="n">
        <f aca="false">IF(WEEKDAY(I$3,2)&gt;5,0,SUMPRODUCT(('Assignment Calc'!$D$5:$D$132=$A8)*('Assignment Calc'!$H$5:$H$132&lt;&gt;"")*('Assignment Calc'!$H$5:$H$132&lt;=I$3)*('Assignment Calc'!$I$5:$I$132&gt;=I$3)*'Assignment Calc'!$K$5:$K$132*'Assignment Calc'!$L$5:$L$132*'Assignment Calc'!$M$5:$M$132))</f>
        <v>0</v>
      </c>
      <c r="J8" s="26" t="n">
        <f aca="false">IF(WEEKDAY(J$3,2)&gt;5,0,SUMPRODUCT(('Assignment Calc'!$D$5:$D$132=$A8)*('Assignment Calc'!$H$5:$H$132&lt;&gt;"")*('Assignment Calc'!$H$5:$H$132&lt;=J$3)*('Assignment Calc'!$I$5:$I$132&gt;=J$3)*'Assignment Calc'!$K$5:$K$132*'Assignment Calc'!$L$5:$L$132*'Assignment Calc'!$M$5:$M$132))</f>
        <v>0</v>
      </c>
      <c r="K8" s="26" t="n">
        <f aca="false">IF(WEEKDAY(K$3,2)&gt;5,0,SUMPRODUCT(('Assignment Calc'!$D$5:$D$132=$A8)*('Assignment Calc'!$H$5:$H$132&lt;&gt;"")*('Assignment Calc'!$H$5:$H$132&lt;=K$3)*('Assignment Calc'!$I$5:$I$132&gt;=K$3)*'Assignment Calc'!$K$5:$K$132*'Assignment Calc'!$L$5:$L$132*'Assignment Calc'!$M$5:$M$132))</f>
        <v>0</v>
      </c>
      <c r="L8" s="26" t="n">
        <f aca="false">IF(WEEKDAY(L$3,2)&gt;5,0,SUMPRODUCT(('Assignment Calc'!$D$5:$D$132=$A8)*('Assignment Calc'!$H$5:$H$132&lt;&gt;"")*('Assignment Calc'!$H$5:$H$132&lt;=L$3)*('Assignment Calc'!$I$5:$I$132&gt;=L$3)*'Assignment Calc'!$K$5:$K$132*'Assignment Calc'!$L$5:$L$132*'Assignment Calc'!$M$5:$M$132))</f>
        <v>0</v>
      </c>
      <c r="M8" s="26" t="n">
        <f aca="false">IF(WEEKDAY(M$3,2)&gt;5,0,SUMPRODUCT(('Assignment Calc'!$D$5:$D$132=$A8)*('Assignment Calc'!$H$5:$H$132&lt;&gt;"")*('Assignment Calc'!$H$5:$H$132&lt;=M$3)*('Assignment Calc'!$I$5:$I$132&gt;=M$3)*'Assignment Calc'!$K$5:$K$132*'Assignment Calc'!$L$5:$L$132*'Assignment Calc'!$M$5:$M$132))</f>
        <v>0</v>
      </c>
      <c r="N8" s="26" t="n">
        <f aca="false">IF(WEEKDAY(N$3,2)&gt;5,0,SUMPRODUCT(('Assignment Calc'!$D$5:$D$132=$A8)*('Assignment Calc'!$H$5:$H$132&lt;&gt;"")*('Assignment Calc'!$H$5:$H$132&lt;=N$3)*('Assignment Calc'!$I$5:$I$132&gt;=N$3)*'Assignment Calc'!$K$5:$K$132*'Assignment Calc'!$L$5:$L$132*'Assignment Calc'!$M$5:$M$132))</f>
        <v>0</v>
      </c>
      <c r="O8" s="26" t="n">
        <f aca="false">IF(WEEKDAY(O$3,2)&gt;5,0,SUMPRODUCT(('Assignment Calc'!$D$5:$D$132=$A8)*('Assignment Calc'!$H$5:$H$132&lt;&gt;"")*('Assignment Calc'!$H$5:$H$132&lt;=O$3)*('Assignment Calc'!$I$5:$I$132&gt;=O$3)*'Assignment Calc'!$K$5:$K$132*'Assignment Calc'!$L$5:$L$132*'Assignment Calc'!$M$5:$M$132))</f>
        <v>0</v>
      </c>
      <c r="P8" s="26" t="n">
        <f aca="false">IF(WEEKDAY(P$3,2)&gt;5,0,SUMPRODUCT(('Assignment Calc'!$D$5:$D$132=$A8)*('Assignment Calc'!$H$5:$H$132&lt;&gt;"")*('Assignment Calc'!$H$5:$H$132&lt;=P$3)*('Assignment Calc'!$I$5:$I$132&gt;=P$3)*'Assignment Calc'!$K$5:$K$132*'Assignment Calc'!$L$5:$L$132*'Assignment Calc'!$M$5:$M$132))</f>
        <v>0</v>
      </c>
      <c r="Q8" s="26" t="n">
        <f aca="false">IF(WEEKDAY(Q$3,2)&gt;5,0,SUMPRODUCT(('Assignment Calc'!$D$5:$D$132=$A8)*('Assignment Calc'!$H$5:$H$132&lt;&gt;"")*('Assignment Calc'!$H$5:$H$132&lt;=Q$3)*('Assignment Calc'!$I$5:$I$132&gt;=Q$3)*'Assignment Calc'!$K$5:$K$132*'Assignment Calc'!$L$5:$L$132*'Assignment Calc'!$M$5:$M$132))</f>
        <v>0</v>
      </c>
      <c r="R8" s="26" t="n">
        <f aca="false">IF(WEEKDAY(R$3,2)&gt;5,0,SUMPRODUCT(('Assignment Calc'!$D$5:$D$132=$A8)*('Assignment Calc'!$H$5:$H$132&lt;&gt;"")*('Assignment Calc'!$H$5:$H$132&lt;=R$3)*('Assignment Calc'!$I$5:$I$132&gt;=R$3)*'Assignment Calc'!$K$5:$K$132*'Assignment Calc'!$L$5:$L$132*'Assignment Calc'!$M$5:$M$132))</f>
        <v>0</v>
      </c>
      <c r="S8" s="26" t="n">
        <f aca="false">IF(WEEKDAY(S$3,2)&gt;5,0,SUMPRODUCT(('Assignment Calc'!$D$5:$D$132=$A8)*('Assignment Calc'!$H$5:$H$132&lt;&gt;"")*('Assignment Calc'!$H$5:$H$132&lt;=S$3)*('Assignment Calc'!$I$5:$I$132&gt;=S$3)*'Assignment Calc'!$K$5:$K$132*'Assignment Calc'!$L$5:$L$132*'Assignment Calc'!$M$5:$M$132))</f>
        <v>0</v>
      </c>
      <c r="T8" s="26" t="n">
        <f aca="false">IF(WEEKDAY(T$3,2)&gt;5,0,SUMPRODUCT(('Assignment Calc'!$D$5:$D$132=$A8)*('Assignment Calc'!$H$5:$H$132&lt;&gt;"")*('Assignment Calc'!$H$5:$H$132&lt;=T$3)*('Assignment Calc'!$I$5:$I$132&gt;=T$3)*'Assignment Calc'!$K$5:$K$132*'Assignment Calc'!$L$5:$L$132*'Assignment Calc'!$M$5:$M$132))</f>
        <v>0</v>
      </c>
      <c r="U8" s="26" t="n">
        <f aca="false">IF(WEEKDAY(U$3,2)&gt;5,0,SUMPRODUCT(('Assignment Calc'!$D$5:$D$132=$A8)*('Assignment Calc'!$H$5:$H$132&lt;&gt;"")*('Assignment Calc'!$H$5:$H$132&lt;=U$3)*('Assignment Calc'!$I$5:$I$132&gt;=U$3)*'Assignment Calc'!$K$5:$K$132*'Assignment Calc'!$L$5:$L$132*'Assignment Calc'!$M$5:$M$132))</f>
        <v>0</v>
      </c>
      <c r="V8" s="26" t="n">
        <f aca="false">IF(WEEKDAY(V$3,2)&gt;5,0,SUMPRODUCT(('Assignment Calc'!$D$5:$D$132=$A8)*('Assignment Calc'!$H$5:$H$132&lt;&gt;"")*('Assignment Calc'!$H$5:$H$132&lt;=V$3)*('Assignment Calc'!$I$5:$I$132&gt;=V$3)*'Assignment Calc'!$K$5:$K$132*'Assignment Calc'!$L$5:$L$132*'Assignment Calc'!$M$5:$M$132))</f>
        <v>0</v>
      </c>
      <c r="W8" s="26" t="n">
        <f aca="false">IF(WEEKDAY(W$3,2)&gt;5,0,SUMPRODUCT(('Assignment Calc'!$D$5:$D$132=$A8)*('Assignment Calc'!$H$5:$H$132&lt;&gt;"")*('Assignment Calc'!$H$5:$H$132&lt;=W$3)*('Assignment Calc'!$I$5:$I$132&gt;=W$3)*'Assignment Calc'!$K$5:$K$132*'Assignment Calc'!$L$5:$L$132*'Assignment Calc'!$M$5:$M$132))</f>
        <v>0</v>
      </c>
      <c r="X8" s="26" t="n">
        <f aca="false">IF(WEEKDAY(X$3,2)&gt;5,0,SUMPRODUCT(('Assignment Calc'!$D$5:$D$132=$A8)*('Assignment Calc'!$H$5:$H$132&lt;&gt;"")*('Assignment Calc'!$H$5:$H$132&lt;=X$3)*('Assignment Calc'!$I$5:$I$132&gt;=X$3)*'Assignment Calc'!$K$5:$K$132*'Assignment Calc'!$L$5:$L$132*'Assignment Calc'!$M$5:$M$132))</f>
        <v>0</v>
      </c>
      <c r="Y8" s="26" t="n">
        <f aca="false">IF(WEEKDAY(Y$3,2)&gt;5,0,SUMPRODUCT(('Assignment Calc'!$D$5:$D$132=$A8)*('Assignment Calc'!$H$5:$H$132&lt;&gt;"")*('Assignment Calc'!$H$5:$H$132&lt;=Y$3)*('Assignment Calc'!$I$5:$I$132&gt;=Y$3)*'Assignment Calc'!$K$5:$K$132*'Assignment Calc'!$L$5:$L$132*'Assignment Calc'!$M$5:$M$132))</f>
        <v>0</v>
      </c>
      <c r="Z8" s="26" t="n">
        <f aca="false">IF(WEEKDAY(Z$3,2)&gt;5,0,SUMPRODUCT(('Assignment Calc'!$D$5:$D$132=$A8)*('Assignment Calc'!$H$5:$H$132&lt;&gt;"")*('Assignment Calc'!$H$5:$H$132&lt;=Z$3)*('Assignment Calc'!$I$5:$I$132&gt;=Z$3)*'Assignment Calc'!$K$5:$K$132*'Assignment Calc'!$L$5:$L$132*'Assignment Calc'!$M$5:$M$132))</f>
        <v>0</v>
      </c>
      <c r="AA8" s="26" t="n">
        <f aca="false">IF(WEEKDAY(AA$3,2)&gt;5,0,SUMPRODUCT(('Assignment Calc'!$D$5:$D$132=$A8)*('Assignment Calc'!$H$5:$H$132&lt;&gt;"")*('Assignment Calc'!$H$5:$H$132&lt;=AA$3)*('Assignment Calc'!$I$5:$I$132&gt;=AA$3)*'Assignment Calc'!$K$5:$K$132*'Assignment Calc'!$L$5:$L$132*'Assignment Calc'!$M$5:$M$132))</f>
        <v>0</v>
      </c>
      <c r="AB8" s="26" t="n">
        <f aca="false">IF(WEEKDAY(AB$3,2)&gt;5,0,SUMPRODUCT(('Assignment Calc'!$D$5:$D$132=$A8)*('Assignment Calc'!$H$5:$H$132&lt;&gt;"")*('Assignment Calc'!$H$5:$H$132&lt;=AB$3)*('Assignment Calc'!$I$5:$I$132&gt;=AB$3)*'Assignment Calc'!$K$5:$K$132*'Assignment Calc'!$L$5:$L$132*'Assignment Calc'!$M$5:$M$132))</f>
        <v>0</v>
      </c>
      <c r="AC8" s="26" t="n">
        <f aca="false">IF(WEEKDAY(AC$3,2)&gt;5,0,SUMPRODUCT(('Assignment Calc'!$D$5:$D$132=$A8)*('Assignment Calc'!$H$5:$H$132&lt;&gt;"")*('Assignment Calc'!$H$5:$H$132&lt;=AC$3)*('Assignment Calc'!$I$5:$I$132&gt;=AC$3)*'Assignment Calc'!$K$5:$K$132*'Assignment Calc'!$L$5:$L$132*'Assignment Calc'!$M$5:$M$132))</f>
        <v>0</v>
      </c>
      <c r="AD8" s="26" t="n">
        <f aca="false">IF(WEEKDAY(AD$3,2)&gt;5,0,SUMPRODUCT(('Assignment Calc'!$D$5:$D$132=$A8)*('Assignment Calc'!$H$5:$H$132&lt;&gt;"")*('Assignment Calc'!$H$5:$H$132&lt;=AD$3)*('Assignment Calc'!$I$5:$I$132&gt;=AD$3)*'Assignment Calc'!$K$5:$K$132*'Assignment Calc'!$L$5:$L$132*'Assignment Calc'!$M$5:$M$132))</f>
        <v>0</v>
      </c>
      <c r="AE8" s="26" t="n">
        <f aca="false">IF(WEEKDAY(AE$3,2)&gt;5,0,SUMPRODUCT(('Assignment Calc'!$D$5:$D$132=$A8)*('Assignment Calc'!$H$5:$H$132&lt;&gt;"")*('Assignment Calc'!$H$5:$H$132&lt;=AE$3)*('Assignment Calc'!$I$5:$I$132&gt;=AE$3)*'Assignment Calc'!$K$5:$K$132*'Assignment Calc'!$L$5:$L$132*'Assignment Calc'!$M$5:$M$132))</f>
        <v>0</v>
      </c>
      <c r="AF8" s="26" t="n">
        <f aca="false">IF(WEEKDAY(AF$3,2)&gt;5,0,SUMPRODUCT(('Assignment Calc'!$D$5:$D$132=$A8)*('Assignment Calc'!$H$5:$H$132&lt;&gt;"")*('Assignment Calc'!$H$5:$H$132&lt;=AF$3)*('Assignment Calc'!$I$5:$I$132&gt;=AF$3)*'Assignment Calc'!$K$5:$K$132*'Assignment Calc'!$L$5:$L$132*'Assignment Calc'!$M$5:$M$132))</f>
        <v>0</v>
      </c>
      <c r="AG8" s="26" t="n">
        <f aca="false">IF(WEEKDAY(AG$3,2)&gt;5,0,SUMPRODUCT(('Assignment Calc'!$D$5:$D$132=$A8)*('Assignment Calc'!$H$5:$H$132&lt;&gt;"")*('Assignment Calc'!$H$5:$H$132&lt;=AG$3)*('Assignment Calc'!$I$5:$I$132&gt;=AG$3)*'Assignment Calc'!$K$5:$K$132*'Assignment Calc'!$L$5:$L$132*'Assignment Calc'!$M$5:$M$132))</f>
        <v>0</v>
      </c>
      <c r="AH8" s="26" t="n">
        <f aca="false">IF(WEEKDAY(AH$3,2)&gt;5,0,SUMPRODUCT(('Assignment Calc'!$D$5:$D$132=$A8)*('Assignment Calc'!$H$5:$H$132&lt;&gt;"")*('Assignment Calc'!$H$5:$H$132&lt;=AH$3)*('Assignment Calc'!$I$5:$I$132&gt;=AH$3)*'Assignment Calc'!$K$5:$K$132*'Assignment Calc'!$L$5:$L$132*'Assignment Calc'!$M$5:$M$132))</f>
        <v>0</v>
      </c>
      <c r="AI8" s="26" t="n">
        <f aca="false">IF(WEEKDAY(AI$3,2)&gt;5,0,SUMPRODUCT(('Assignment Calc'!$D$5:$D$132=$A8)*('Assignment Calc'!$H$5:$H$132&lt;&gt;"")*('Assignment Calc'!$H$5:$H$132&lt;=AI$3)*('Assignment Calc'!$I$5:$I$132&gt;=AI$3)*'Assignment Calc'!$K$5:$K$132*'Assignment Calc'!$L$5:$L$132*'Assignment Calc'!$M$5:$M$132))</f>
        <v>0</v>
      </c>
      <c r="AJ8" s="26" t="n">
        <f aca="false">IF(WEEKDAY(AJ$3,2)&gt;5,0,SUMPRODUCT(('Assignment Calc'!$D$5:$D$132=$A8)*('Assignment Calc'!$H$5:$H$132&lt;&gt;"")*('Assignment Calc'!$H$5:$H$132&lt;=AJ$3)*('Assignment Calc'!$I$5:$I$132&gt;=AJ$3)*'Assignment Calc'!$K$5:$K$132*'Assignment Calc'!$L$5:$L$132*'Assignment Calc'!$M$5:$M$132))</f>
        <v>0</v>
      </c>
      <c r="AK8" s="26" t="n">
        <f aca="false">IF(WEEKDAY(AK$3,2)&gt;5,0,SUMPRODUCT(('Assignment Calc'!$D$5:$D$132=$A8)*('Assignment Calc'!$H$5:$H$132&lt;&gt;"")*('Assignment Calc'!$H$5:$H$132&lt;=AK$3)*('Assignment Calc'!$I$5:$I$132&gt;=AK$3)*'Assignment Calc'!$K$5:$K$132*'Assignment Calc'!$L$5:$L$132*'Assignment Calc'!$M$5:$M$132))</f>
        <v>0</v>
      </c>
      <c r="AL8" s="26" t="n">
        <f aca="false">IF(WEEKDAY(AL$3,2)&gt;5,0,SUMPRODUCT(('Assignment Calc'!$D$5:$D$132=$A8)*('Assignment Calc'!$H$5:$H$132&lt;&gt;"")*('Assignment Calc'!$H$5:$H$132&lt;=AL$3)*('Assignment Calc'!$I$5:$I$132&gt;=AL$3)*'Assignment Calc'!$K$5:$K$132*'Assignment Calc'!$L$5:$L$132*'Assignment Calc'!$M$5:$M$132))</f>
        <v>0</v>
      </c>
      <c r="AM8" s="26" t="n">
        <f aca="false">IF(WEEKDAY(AM$3,2)&gt;5,0,SUMPRODUCT(('Assignment Calc'!$D$5:$D$132=$A8)*('Assignment Calc'!$H$5:$H$132&lt;&gt;"")*('Assignment Calc'!$H$5:$H$132&lt;=AM$3)*('Assignment Calc'!$I$5:$I$132&gt;=AM$3)*'Assignment Calc'!$K$5:$K$132*'Assignment Calc'!$L$5:$L$132*'Assignment Calc'!$M$5:$M$132))</f>
        <v>0</v>
      </c>
      <c r="AN8" s="26" t="n">
        <f aca="false">IF(WEEKDAY(AN$3,2)&gt;5,0,SUMPRODUCT(('Assignment Calc'!$D$5:$D$132=$A8)*('Assignment Calc'!$H$5:$H$132&lt;&gt;"")*('Assignment Calc'!$H$5:$H$132&lt;=AN$3)*('Assignment Calc'!$I$5:$I$132&gt;=AN$3)*'Assignment Calc'!$K$5:$K$132*'Assignment Calc'!$L$5:$L$132*'Assignment Calc'!$M$5:$M$132))</f>
        <v>0</v>
      </c>
      <c r="AO8" s="26" t="n">
        <f aca="false">IF(WEEKDAY(AO$3,2)&gt;5,0,SUMPRODUCT(('Assignment Calc'!$D$5:$D$132=$A8)*('Assignment Calc'!$H$5:$H$132&lt;&gt;"")*('Assignment Calc'!$H$5:$H$132&lt;=AO$3)*('Assignment Calc'!$I$5:$I$132&gt;=AO$3)*'Assignment Calc'!$K$5:$K$132*'Assignment Calc'!$L$5:$L$132*'Assignment Calc'!$M$5:$M$132))</f>
        <v>0</v>
      </c>
      <c r="AP8" s="26" t="n">
        <f aca="false">IF(WEEKDAY(AP$3,2)&gt;5,0,SUMPRODUCT(('Assignment Calc'!$D$5:$D$132=$A8)*('Assignment Calc'!$H$5:$H$132&lt;&gt;"")*('Assignment Calc'!$H$5:$H$132&lt;=AP$3)*('Assignment Calc'!$I$5:$I$132&gt;=AP$3)*'Assignment Calc'!$K$5:$K$132*'Assignment Calc'!$L$5:$L$132*'Assignment Calc'!$M$5:$M$132))</f>
        <v>0</v>
      </c>
      <c r="AQ8" s="26" t="n">
        <f aca="false">IF(WEEKDAY(AQ$3,2)&gt;5,0,SUMPRODUCT(('Assignment Calc'!$D$5:$D$132=$A8)*('Assignment Calc'!$H$5:$H$132&lt;&gt;"")*('Assignment Calc'!$H$5:$H$132&lt;=AQ$3)*('Assignment Calc'!$I$5:$I$132&gt;=AQ$3)*'Assignment Calc'!$K$5:$K$132*'Assignment Calc'!$L$5:$L$132*'Assignment Calc'!$M$5:$M$132))</f>
        <v>0</v>
      </c>
      <c r="AR8" s="26" t="n">
        <f aca="false">IF(WEEKDAY(AR$3,2)&gt;5,0,SUMPRODUCT(('Assignment Calc'!$D$5:$D$132=$A8)*('Assignment Calc'!$H$5:$H$132&lt;&gt;"")*('Assignment Calc'!$H$5:$H$132&lt;=AR$3)*('Assignment Calc'!$I$5:$I$132&gt;=AR$3)*'Assignment Calc'!$K$5:$K$132*'Assignment Calc'!$L$5:$L$132*'Assignment Calc'!$M$5:$M$132))</f>
        <v>0</v>
      </c>
      <c r="AS8" s="26" t="n">
        <f aca="false">IF(WEEKDAY(AS$3,2)&gt;5,0,SUMPRODUCT(('Assignment Calc'!$D$5:$D$132=$A8)*('Assignment Calc'!$H$5:$H$132&lt;&gt;"")*('Assignment Calc'!$H$5:$H$132&lt;=AS$3)*('Assignment Calc'!$I$5:$I$132&gt;=AS$3)*'Assignment Calc'!$K$5:$K$132*'Assignment Calc'!$L$5:$L$132*'Assignment Calc'!$M$5:$M$132))</f>
        <v>0</v>
      </c>
      <c r="AT8" s="26" t="n">
        <f aca="false">IF(WEEKDAY(AT$3,2)&gt;5,0,SUMPRODUCT(('Assignment Calc'!$D$5:$D$132=$A8)*('Assignment Calc'!$H$5:$H$132&lt;&gt;"")*('Assignment Calc'!$H$5:$H$132&lt;=AT$3)*('Assignment Calc'!$I$5:$I$132&gt;=AT$3)*'Assignment Calc'!$K$5:$K$132*'Assignment Calc'!$L$5:$L$132*'Assignment Calc'!$M$5:$M$132))</f>
        <v>0</v>
      </c>
      <c r="AU8" s="26" t="n">
        <f aca="false">IF(WEEKDAY(AU$3,2)&gt;5,0,SUMPRODUCT(('Assignment Calc'!$D$5:$D$132=$A8)*('Assignment Calc'!$H$5:$H$132&lt;&gt;"")*('Assignment Calc'!$H$5:$H$132&lt;=AU$3)*('Assignment Calc'!$I$5:$I$132&gt;=AU$3)*'Assignment Calc'!$K$5:$K$132*'Assignment Calc'!$L$5:$L$132*'Assignment Calc'!$M$5:$M$132))</f>
        <v>0</v>
      </c>
      <c r="AV8" s="26" t="n">
        <f aca="false">IF(WEEKDAY(AV$3,2)&gt;5,0,SUMPRODUCT(('Assignment Calc'!$D$5:$D$132=$A8)*('Assignment Calc'!$H$5:$H$132&lt;&gt;"")*('Assignment Calc'!$H$5:$H$132&lt;=AV$3)*('Assignment Calc'!$I$5:$I$132&gt;=AV$3)*'Assignment Calc'!$K$5:$K$132*'Assignment Calc'!$L$5:$L$132*'Assignment Calc'!$M$5:$M$132))</f>
        <v>0</v>
      </c>
      <c r="AW8" s="26" t="n">
        <f aca="false">IF(WEEKDAY(AW$3,2)&gt;5,0,SUMPRODUCT(('Assignment Calc'!$D$5:$D$132=$A8)*('Assignment Calc'!$H$5:$H$132&lt;&gt;"")*('Assignment Calc'!$H$5:$H$132&lt;=AW$3)*('Assignment Calc'!$I$5:$I$132&gt;=AW$3)*'Assignment Calc'!$K$5:$K$132*'Assignment Calc'!$L$5:$L$132*'Assignment Calc'!$M$5:$M$132))</f>
        <v>0</v>
      </c>
      <c r="AX8" s="26" t="n">
        <f aca="false">IF(WEEKDAY(AX$3,2)&gt;5,0,SUMPRODUCT(('Assignment Calc'!$D$5:$D$132=$A8)*('Assignment Calc'!$H$5:$H$132&lt;&gt;"")*('Assignment Calc'!$H$5:$H$132&lt;=AX$3)*('Assignment Calc'!$I$5:$I$132&gt;=AX$3)*'Assignment Calc'!$K$5:$K$132*'Assignment Calc'!$L$5:$L$132*'Assignment Calc'!$M$5:$M$132))</f>
        <v>0</v>
      </c>
      <c r="AY8" s="26" t="n">
        <f aca="false">IF(WEEKDAY(AY$3,2)&gt;5,0,SUMPRODUCT(('Assignment Calc'!$D$5:$D$132=$A8)*('Assignment Calc'!$H$5:$H$132&lt;&gt;"")*('Assignment Calc'!$H$5:$H$132&lt;=AY$3)*('Assignment Calc'!$I$5:$I$132&gt;=AY$3)*'Assignment Calc'!$K$5:$K$132*'Assignment Calc'!$L$5:$L$132*'Assignment Calc'!$M$5:$M$132))</f>
        <v>0</v>
      </c>
      <c r="AZ8" s="26" t="n">
        <f aca="false">IF(WEEKDAY(AZ$3,2)&gt;5,0,SUMPRODUCT(('Assignment Calc'!$D$5:$D$132=$A8)*('Assignment Calc'!$H$5:$H$132&lt;&gt;"")*('Assignment Calc'!$H$5:$H$132&lt;=AZ$3)*('Assignment Calc'!$I$5:$I$132&gt;=AZ$3)*'Assignment Calc'!$K$5:$K$132*'Assignment Calc'!$L$5:$L$132*'Assignment Calc'!$M$5:$M$132))</f>
        <v>0</v>
      </c>
      <c r="BA8" s="26" t="n">
        <f aca="false">IF(WEEKDAY(BA$3,2)&gt;5,0,SUMPRODUCT(('Assignment Calc'!$D$5:$D$132=$A8)*('Assignment Calc'!$H$5:$H$132&lt;&gt;"")*('Assignment Calc'!$H$5:$H$132&lt;=BA$3)*('Assignment Calc'!$I$5:$I$132&gt;=BA$3)*'Assignment Calc'!$K$5:$K$132*'Assignment Calc'!$L$5:$L$132*'Assignment Calc'!$M$5:$M$132))</f>
        <v>0</v>
      </c>
      <c r="BB8" s="26" t="n">
        <f aca="false">IF(WEEKDAY(BB$3,2)&gt;5,0,SUMPRODUCT(('Assignment Calc'!$D$5:$D$132=$A8)*('Assignment Calc'!$H$5:$H$132&lt;&gt;"")*('Assignment Calc'!$H$5:$H$132&lt;=BB$3)*('Assignment Calc'!$I$5:$I$132&gt;=BB$3)*'Assignment Calc'!$K$5:$K$132*'Assignment Calc'!$L$5:$L$132*'Assignment Calc'!$M$5:$M$132))</f>
        <v>0</v>
      </c>
      <c r="BC8" s="26" t="n">
        <f aca="false">IF(WEEKDAY(BC$3,2)&gt;5,0,SUMPRODUCT(('Assignment Calc'!$D$5:$D$132=$A8)*('Assignment Calc'!$H$5:$H$132&lt;&gt;"")*('Assignment Calc'!$H$5:$H$132&lt;=BC$3)*('Assignment Calc'!$I$5:$I$132&gt;=BC$3)*'Assignment Calc'!$K$5:$K$132*'Assignment Calc'!$L$5:$L$132*'Assignment Calc'!$M$5:$M$132))</f>
        <v>0</v>
      </c>
      <c r="BD8" s="26" t="n">
        <f aca="false">IF(WEEKDAY(BD$3,2)&gt;5,0,SUMPRODUCT(('Assignment Calc'!$D$5:$D$132=$A8)*('Assignment Calc'!$H$5:$H$132&lt;&gt;"")*('Assignment Calc'!$H$5:$H$132&lt;=BD$3)*('Assignment Calc'!$I$5:$I$132&gt;=BD$3)*'Assignment Calc'!$K$5:$K$132*'Assignment Calc'!$L$5:$L$132*'Assignment Calc'!$M$5:$M$132))</f>
        <v>5</v>
      </c>
      <c r="BE8" s="26" t="n">
        <f aca="false">IF(WEEKDAY(BE$3,2)&gt;5,0,SUMPRODUCT(('Assignment Calc'!$D$5:$D$132=$A8)*('Assignment Calc'!$H$5:$H$132&lt;&gt;"")*('Assignment Calc'!$H$5:$H$132&lt;=BE$3)*('Assignment Calc'!$I$5:$I$132&gt;=BE$3)*'Assignment Calc'!$K$5:$K$132*'Assignment Calc'!$L$5:$L$132*'Assignment Calc'!$M$5:$M$132))</f>
        <v>5</v>
      </c>
      <c r="BF8" s="26" t="n">
        <f aca="false">IF(WEEKDAY(BF$3,2)&gt;5,0,SUMPRODUCT(('Assignment Calc'!$D$5:$D$132=$A8)*('Assignment Calc'!$H$5:$H$132&lt;&gt;"")*('Assignment Calc'!$H$5:$H$132&lt;=BF$3)*('Assignment Calc'!$I$5:$I$132&gt;=BF$3)*'Assignment Calc'!$K$5:$K$132*'Assignment Calc'!$L$5:$L$132*'Assignment Calc'!$M$5:$M$132))</f>
        <v>5</v>
      </c>
      <c r="BG8" s="26" t="n">
        <f aca="false">IF(WEEKDAY(BG$3,2)&gt;5,0,SUMPRODUCT(('Assignment Calc'!$D$5:$D$132=$A8)*('Assignment Calc'!$H$5:$H$132&lt;&gt;"")*('Assignment Calc'!$H$5:$H$132&lt;=BG$3)*('Assignment Calc'!$I$5:$I$132&gt;=BG$3)*'Assignment Calc'!$K$5:$K$132*'Assignment Calc'!$L$5:$L$132*'Assignment Calc'!$M$5:$M$132))</f>
        <v>5</v>
      </c>
      <c r="BH8" s="26" t="n">
        <f aca="false">IF(WEEKDAY(BH$3,2)&gt;5,0,SUMPRODUCT(('Assignment Calc'!$D$5:$D$132=$A8)*('Assignment Calc'!$H$5:$H$132&lt;&gt;"")*('Assignment Calc'!$H$5:$H$132&lt;=BH$3)*('Assignment Calc'!$I$5:$I$132&gt;=BH$3)*'Assignment Calc'!$K$5:$K$132*'Assignment Calc'!$L$5:$L$132*'Assignment Calc'!$M$5:$M$132))</f>
        <v>5</v>
      </c>
      <c r="BI8" s="26" t="n">
        <f aca="false">IF(WEEKDAY(BI$3,2)&gt;5,0,SUMPRODUCT(('Assignment Calc'!$D$5:$D$132=$A8)*('Assignment Calc'!$H$5:$H$132&lt;&gt;"")*('Assignment Calc'!$H$5:$H$132&lt;=BI$3)*('Assignment Calc'!$I$5:$I$132&gt;=BI$3)*'Assignment Calc'!$K$5:$K$132*'Assignment Calc'!$L$5:$L$132*'Assignment Calc'!$M$5:$M$132))</f>
        <v>0</v>
      </c>
      <c r="BJ8" s="26" t="n">
        <f aca="false">IF(WEEKDAY(BJ$3,2)&gt;5,0,SUMPRODUCT(('Assignment Calc'!$D$5:$D$132=$A8)*('Assignment Calc'!$H$5:$H$132&lt;&gt;"")*('Assignment Calc'!$H$5:$H$132&lt;=BJ$3)*('Assignment Calc'!$I$5:$I$132&gt;=BJ$3)*'Assignment Calc'!$K$5:$K$132*'Assignment Calc'!$L$5:$L$132*'Assignment Calc'!$M$5:$M$132))</f>
        <v>0</v>
      </c>
      <c r="BK8" s="26" t="n">
        <f aca="false">IF(WEEKDAY(BK$3,2)&gt;5,0,SUMPRODUCT(('Assignment Calc'!$D$5:$D$132=$A8)*('Assignment Calc'!$H$5:$H$132&lt;&gt;"")*('Assignment Calc'!$H$5:$H$132&lt;=BK$3)*('Assignment Calc'!$I$5:$I$132&gt;=BK$3)*'Assignment Calc'!$K$5:$K$132*'Assignment Calc'!$L$5:$L$132*'Assignment Calc'!$M$5:$M$132))</f>
        <v>0</v>
      </c>
      <c r="BL8" s="26" t="n">
        <f aca="false">IF(WEEKDAY(BL$3,2)&gt;5,0,SUMPRODUCT(('Assignment Calc'!$D$5:$D$132=$A8)*('Assignment Calc'!$H$5:$H$132&lt;&gt;"")*('Assignment Calc'!$H$5:$H$132&lt;=BL$3)*('Assignment Calc'!$I$5:$I$132&gt;=BL$3)*'Assignment Calc'!$K$5:$K$132*'Assignment Calc'!$L$5:$L$132*'Assignment Calc'!$M$5:$M$132))</f>
        <v>0</v>
      </c>
      <c r="BM8" s="26" t="n">
        <f aca="false">IF(WEEKDAY(BM$3,2)&gt;5,0,SUMPRODUCT(('Assignment Calc'!$D$5:$D$132=$A8)*('Assignment Calc'!$H$5:$H$132&lt;&gt;"")*('Assignment Calc'!$H$5:$H$132&lt;=BM$3)*('Assignment Calc'!$I$5:$I$132&gt;=BM$3)*'Assignment Calc'!$K$5:$K$132*'Assignment Calc'!$L$5:$L$132*'Assignment Calc'!$M$5:$M$132))</f>
        <v>0</v>
      </c>
      <c r="BN8" s="26" t="n">
        <f aca="false">IF(WEEKDAY(BN$3,2)&gt;5,0,SUMPRODUCT(('Assignment Calc'!$D$5:$D$132=$A8)*('Assignment Calc'!$H$5:$H$132&lt;&gt;"")*('Assignment Calc'!$H$5:$H$132&lt;=BN$3)*('Assignment Calc'!$I$5:$I$132&gt;=BN$3)*'Assignment Calc'!$K$5:$K$132*'Assignment Calc'!$L$5:$L$132*'Assignment Calc'!$M$5:$M$132))</f>
        <v>0</v>
      </c>
      <c r="BO8" s="26" t="n">
        <f aca="false">IF(WEEKDAY(BO$3,2)&gt;5,0,SUMPRODUCT(('Assignment Calc'!$D$5:$D$132=$A8)*('Assignment Calc'!$H$5:$H$132&lt;&gt;"")*('Assignment Calc'!$H$5:$H$132&lt;=BO$3)*('Assignment Calc'!$I$5:$I$132&gt;=BO$3)*'Assignment Calc'!$K$5:$K$132*'Assignment Calc'!$L$5:$L$132*'Assignment Calc'!$M$5:$M$132))</f>
        <v>0</v>
      </c>
      <c r="BP8" s="26" t="n">
        <f aca="false">IF(WEEKDAY(BP$3,2)&gt;5,0,SUMPRODUCT(('Assignment Calc'!$D$5:$D$132=$A8)*('Assignment Calc'!$H$5:$H$132&lt;&gt;"")*('Assignment Calc'!$H$5:$H$132&lt;=BP$3)*('Assignment Calc'!$I$5:$I$132&gt;=BP$3)*'Assignment Calc'!$K$5:$K$132*'Assignment Calc'!$L$5:$L$132*'Assignment Calc'!$M$5:$M$132))</f>
        <v>0</v>
      </c>
      <c r="BQ8" s="26" t="n">
        <f aca="false">IF(WEEKDAY(BQ$3,2)&gt;5,0,SUMPRODUCT(('Assignment Calc'!$D$5:$D$132=$A8)*('Assignment Calc'!$H$5:$H$132&lt;&gt;"")*('Assignment Calc'!$H$5:$H$132&lt;=BQ$3)*('Assignment Calc'!$I$5:$I$132&gt;=BQ$3)*'Assignment Calc'!$K$5:$K$132*'Assignment Calc'!$L$5:$L$132*'Assignment Calc'!$M$5:$M$132))</f>
        <v>0</v>
      </c>
      <c r="BR8" s="26" t="n">
        <f aca="false">IF(WEEKDAY(BR$3,2)&gt;5,0,SUMPRODUCT(('Assignment Calc'!$D$5:$D$132=$A8)*('Assignment Calc'!$H$5:$H$132&lt;&gt;"")*('Assignment Calc'!$H$5:$H$132&lt;=BR$3)*('Assignment Calc'!$I$5:$I$132&gt;=BR$3)*'Assignment Calc'!$K$5:$K$132*'Assignment Calc'!$L$5:$L$132*'Assignment Calc'!$M$5:$M$132))</f>
        <v>0</v>
      </c>
      <c r="BS8" s="26" t="n">
        <f aca="false">IF(WEEKDAY(BS$3,2)&gt;5,0,SUMPRODUCT(('Assignment Calc'!$D$5:$D$132=$A8)*('Assignment Calc'!$H$5:$H$132&lt;&gt;"")*('Assignment Calc'!$H$5:$H$132&lt;=BS$3)*('Assignment Calc'!$I$5:$I$132&gt;=BS$3)*'Assignment Calc'!$K$5:$K$132*'Assignment Calc'!$L$5:$L$132*'Assignment Calc'!$M$5:$M$132))</f>
        <v>0</v>
      </c>
      <c r="BT8" s="26" t="n">
        <f aca="false">IF(WEEKDAY(BT$3,2)&gt;5,0,SUMPRODUCT(('Assignment Calc'!$D$5:$D$132=$A8)*('Assignment Calc'!$H$5:$H$132&lt;&gt;"")*('Assignment Calc'!$H$5:$H$132&lt;=BT$3)*('Assignment Calc'!$I$5:$I$132&gt;=BT$3)*'Assignment Calc'!$K$5:$K$132*'Assignment Calc'!$L$5:$L$132*'Assignment Calc'!$M$5:$M$132))</f>
        <v>0</v>
      </c>
      <c r="BU8" s="26" t="n">
        <f aca="false">IF(WEEKDAY(BU$3,2)&gt;5,0,SUMPRODUCT(('Assignment Calc'!$D$5:$D$132=$A8)*('Assignment Calc'!$H$5:$H$132&lt;&gt;"")*('Assignment Calc'!$H$5:$H$132&lt;=BU$3)*('Assignment Calc'!$I$5:$I$132&gt;=BU$3)*'Assignment Calc'!$K$5:$K$132*'Assignment Calc'!$L$5:$L$132*'Assignment Calc'!$M$5:$M$132))</f>
        <v>0</v>
      </c>
      <c r="BV8" s="26" t="n">
        <f aca="false">IF(WEEKDAY(BV$3,2)&gt;5,0,SUMPRODUCT(('Assignment Calc'!$D$5:$D$132=$A8)*('Assignment Calc'!$H$5:$H$132&lt;&gt;"")*('Assignment Calc'!$H$5:$H$132&lt;=BV$3)*('Assignment Calc'!$I$5:$I$132&gt;=BV$3)*'Assignment Calc'!$K$5:$K$132*'Assignment Calc'!$L$5:$L$132*'Assignment Calc'!$M$5:$M$132))</f>
        <v>0</v>
      </c>
      <c r="BW8" s="26" t="n">
        <f aca="false">IF(WEEKDAY(BW$3,2)&gt;5,0,SUMPRODUCT(('Assignment Calc'!$D$5:$D$132=$A8)*('Assignment Calc'!$H$5:$H$132&lt;&gt;"")*('Assignment Calc'!$H$5:$H$132&lt;=BW$3)*('Assignment Calc'!$I$5:$I$132&gt;=BW$3)*'Assignment Calc'!$K$5:$K$132*'Assignment Calc'!$L$5:$L$132*'Assignment Calc'!$M$5:$M$132))</f>
        <v>0</v>
      </c>
      <c r="BX8" s="26" t="n">
        <f aca="false">IF(WEEKDAY(BX$3,2)&gt;5,0,SUMPRODUCT(('Assignment Calc'!$D$5:$D$132=$A8)*('Assignment Calc'!$H$5:$H$132&lt;&gt;"")*('Assignment Calc'!$H$5:$H$132&lt;=BX$3)*('Assignment Calc'!$I$5:$I$132&gt;=BX$3)*'Assignment Calc'!$K$5:$K$132*'Assignment Calc'!$L$5:$L$132*'Assignment Calc'!$M$5:$M$132))</f>
        <v>0</v>
      </c>
      <c r="BY8" s="26" t="n">
        <f aca="false">IF(WEEKDAY(BY$3,2)&gt;5,0,SUMPRODUCT(('Assignment Calc'!$D$5:$D$132=$A8)*('Assignment Calc'!$H$5:$H$132&lt;&gt;"")*('Assignment Calc'!$H$5:$H$132&lt;=BY$3)*('Assignment Calc'!$I$5:$I$132&gt;=BY$3)*'Assignment Calc'!$K$5:$K$132*'Assignment Calc'!$L$5:$L$132*'Assignment Calc'!$M$5:$M$132))</f>
        <v>0</v>
      </c>
      <c r="BZ8" s="26" t="n">
        <f aca="false">IF(WEEKDAY(BZ$3,2)&gt;5,0,SUMPRODUCT(('Assignment Calc'!$D$5:$D$132=$A8)*('Assignment Calc'!$H$5:$H$132&lt;&gt;"")*('Assignment Calc'!$H$5:$H$132&lt;=BZ$3)*('Assignment Calc'!$I$5:$I$132&gt;=BZ$3)*'Assignment Calc'!$K$5:$K$132*'Assignment Calc'!$L$5:$L$132*'Assignment Calc'!$M$5:$M$132))</f>
        <v>0</v>
      </c>
      <c r="CA8" s="26" t="n">
        <f aca="false">IF(WEEKDAY(CA$3,2)&gt;5,0,SUMPRODUCT(('Assignment Calc'!$D$5:$D$132=$A8)*('Assignment Calc'!$H$5:$H$132&lt;&gt;"")*('Assignment Calc'!$H$5:$H$132&lt;=CA$3)*('Assignment Calc'!$I$5:$I$132&gt;=CA$3)*'Assignment Calc'!$K$5:$K$132*'Assignment Calc'!$L$5:$L$132*'Assignment Calc'!$M$5:$M$132))</f>
        <v>0</v>
      </c>
      <c r="CB8" s="26" t="n">
        <f aca="false">IF(WEEKDAY(CB$3,2)&gt;5,0,SUMPRODUCT(('Assignment Calc'!$D$5:$D$132=$A8)*('Assignment Calc'!$H$5:$H$132&lt;&gt;"")*('Assignment Calc'!$H$5:$H$132&lt;=CB$3)*('Assignment Calc'!$I$5:$I$132&gt;=CB$3)*'Assignment Calc'!$K$5:$K$132*'Assignment Calc'!$L$5:$L$132*'Assignment Calc'!$M$5:$M$132))</f>
        <v>0</v>
      </c>
      <c r="CC8" s="26" t="n">
        <f aca="false">IF(WEEKDAY(CC$3,2)&gt;5,0,SUMPRODUCT(('Assignment Calc'!$D$5:$D$132=$A8)*('Assignment Calc'!$H$5:$H$132&lt;&gt;"")*('Assignment Calc'!$H$5:$H$132&lt;=CC$3)*('Assignment Calc'!$I$5:$I$132&gt;=CC$3)*'Assignment Calc'!$K$5:$K$132*'Assignment Calc'!$L$5:$L$132*'Assignment Calc'!$M$5:$M$132))</f>
        <v>0</v>
      </c>
      <c r="CD8" s="26" t="n">
        <f aca="false">IF(WEEKDAY(CD$3,2)&gt;5,0,SUMPRODUCT(('Assignment Calc'!$D$5:$D$132=$A8)*('Assignment Calc'!$H$5:$H$132&lt;&gt;"")*('Assignment Calc'!$H$5:$H$132&lt;=CD$3)*('Assignment Calc'!$I$5:$I$132&gt;=CD$3)*'Assignment Calc'!$K$5:$K$132*'Assignment Calc'!$L$5:$L$132*'Assignment Calc'!$M$5:$M$132))</f>
        <v>0</v>
      </c>
      <c r="CE8" s="26" t="n">
        <f aca="false">IF(WEEKDAY(CE$3,2)&gt;5,0,SUMPRODUCT(('Assignment Calc'!$D$5:$D$132=$A8)*('Assignment Calc'!$H$5:$H$132&lt;&gt;"")*('Assignment Calc'!$H$5:$H$132&lt;=CE$3)*('Assignment Calc'!$I$5:$I$132&gt;=CE$3)*'Assignment Calc'!$K$5:$K$132*'Assignment Calc'!$L$5:$L$132*'Assignment Calc'!$M$5:$M$132))</f>
        <v>0</v>
      </c>
      <c r="CF8" s="26" t="n">
        <f aca="false">IF(WEEKDAY(CF$3,2)&gt;5,0,SUMPRODUCT(('Assignment Calc'!$D$5:$D$132=$A8)*('Assignment Calc'!$H$5:$H$132&lt;&gt;"")*('Assignment Calc'!$H$5:$H$132&lt;=CF$3)*('Assignment Calc'!$I$5:$I$132&gt;=CF$3)*'Assignment Calc'!$K$5:$K$132*'Assignment Calc'!$L$5:$L$132*'Assignment Calc'!$M$5:$M$132))</f>
        <v>0</v>
      </c>
      <c r="CG8" s="26" t="n">
        <f aca="false">IF(WEEKDAY(CG$3,2)&gt;5,0,SUMPRODUCT(('Assignment Calc'!$D$5:$D$132=$A8)*('Assignment Calc'!$H$5:$H$132&lt;&gt;"")*('Assignment Calc'!$H$5:$H$132&lt;=CG$3)*('Assignment Calc'!$I$5:$I$132&gt;=CG$3)*'Assignment Calc'!$K$5:$K$132*'Assignment Calc'!$L$5:$L$132*'Assignment Calc'!$M$5:$M$132))</f>
        <v>0</v>
      </c>
      <c r="CH8" s="26" t="n">
        <f aca="false">IF(WEEKDAY(CH$3,2)&gt;5,0,SUMPRODUCT(('Assignment Calc'!$D$5:$D$132=$A8)*('Assignment Calc'!$H$5:$H$132&lt;&gt;"")*('Assignment Calc'!$H$5:$H$132&lt;=CH$3)*('Assignment Calc'!$I$5:$I$132&gt;=CH$3)*'Assignment Calc'!$K$5:$K$132*'Assignment Calc'!$L$5:$L$132*'Assignment Calc'!$M$5:$M$132))</f>
        <v>0</v>
      </c>
      <c r="CI8" s="26" t="n">
        <f aca="false">IF(WEEKDAY(CI$3,2)&gt;5,0,SUMPRODUCT(('Assignment Calc'!$D$5:$D$132=$A8)*('Assignment Calc'!$H$5:$H$132&lt;&gt;"")*('Assignment Calc'!$H$5:$H$132&lt;=CI$3)*('Assignment Calc'!$I$5:$I$132&gt;=CI$3)*'Assignment Calc'!$K$5:$K$132*'Assignment Calc'!$L$5:$L$132*'Assignment Calc'!$M$5:$M$132))</f>
        <v>0</v>
      </c>
      <c r="CJ8" s="26" t="n">
        <f aca="false">IF(WEEKDAY(CJ$3,2)&gt;5,0,SUMPRODUCT(('Assignment Calc'!$D$5:$D$132=$A8)*('Assignment Calc'!$H$5:$H$132&lt;&gt;"")*('Assignment Calc'!$H$5:$H$132&lt;=CJ$3)*('Assignment Calc'!$I$5:$I$132&gt;=CJ$3)*'Assignment Calc'!$K$5:$K$132*'Assignment Calc'!$L$5:$L$132*'Assignment Calc'!$M$5:$M$132))</f>
        <v>0</v>
      </c>
      <c r="CK8" s="26" t="n">
        <f aca="false">IF(WEEKDAY(CK$3,2)&gt;5,0,SUMPRODUCT(('Assignment Calc'!$D$5:$D$132=$A8)*('Assignment Calc'!$H$5:$H$132&lt;&gt;"")*('Assignment Calc'!$H$5:$H$132&lt;=CK$3)*('Assignment Calc'!$I$5:$I$132&gt;=CK$3)*'Assignment Calc'!$K$5:$K$132*'Assignment Calc'!$L$5:$L$132*'Assignment Calc'!$M$5:$M$132))</f>
        <v>0</v>
      </c>
      <c r="CL8" s="26" t="n">
        <f aca="false">IF(WEEKDAY(CL$3,2)&gt;5,0,SUMPRODUCT(('Assignment Calc'!$D$5:$D$132=$A8)*('Assignment Calc'!$H$5:$H$132&lt;&gt;"")*('Assignment Calc'!$H$5:$H$132&lt;=CL$3)*('Assignment Calc'!$I$5:$I$132&gt;=CL$3)*'Assignment Calc'!$K$5:$K$132*'Assignment Calc'!$L$5:$L$132*'Assignment Calc'!$M$5:$M$132))</f>
        <v>0</v>
      </c>
      <c r="CM8" s="26" t="n">
        <f aca="false">IF(WEEKDAY(CM$3,2)&gt;5,0,SUMPRODUCT(('Assignment Calc'!$D$5:$D$132=$A8)*('Assignment Calc'!$H$5:$H$132&lt;&gt;"")*('Assignment Calc'!$H$5:$H$132&lt;=CM$3)*('Assignment Calc'!$I$5:$I$132&gt;=CM$3)*'Assignment Calc'!$K$5:$K$132*'Assignment Calc'!$L$5:$L$132*'Assignment Calc'!$M$5:$M$132))</f>
        <v>0</v>
      </c>
      <c r="CN8" s="26" t="n">
        <f aca="false">IF(WEEKDAY(CN$3,2)&gt;5,0,SUMPRODUCT(('Assignment Calc'!$D$5:$D$132=$A8)*('Assignment Calc'!$H$5:$H$132&lt;&gt;"")*('Assignment Calc'!$H$5:$H$132&lt;=CN$3)*('Assignment Calc'!$I$5:$I$132&gt;=CN$3)*'Assignment Calc'!$K$5:$K$132*'Assignment Calc'!$L$5:$L$132*'Assignment Calc'!$M$5:$M$132))</f>
        <v>0</v>
      </c>
      <c r="CO8" s="26" t="n">
        <f aca="false">IF(WEEKDAY(CO$3,2)&gt;5,0,SUMPRODUCT(('Assignment Calc'!$D$5:$D$132=$A8)*('Assignment Calc'!$H$5:$H$132&lt;&gt;"")*('Assignment Calc'!$H$5:$H$132&lt;=CO$3)*('Assignment Calc'!$I$5:$I$132&gt;=CO$3)*'Assignment Calc'!$K$5:$K$132*'Assignment Calc'!$L$5:$L$132*'Assignment Calc'!$M$5:$M$132))</f>
        <v>0</v>
      </c>
      <c r="CP8" s="26" t="n">
        <f aca="false">IF(WEEKDAY(CP$3,2)&gt;5,0,SUMPRODUCT(('Assignment Calc'!$D$5:$D$132=$A8)*('Assignment Calc'!$H$5:$H$132&lt;&gt;"")*('Assignment Calc'!$H$5:$H$132&lt;=CP$3)*('Assignment Calc'!$I$5:$I$132&gt;=CP$3)*'Assignment Calc'!$K$5:$K$132*'Assignment Calc'!$L$5:$L$132*'Assignment Calc'!$M$5:$M$132))</f>
        <v>0</v>
      </c>
    </row>
    <row r="9" customFormat="false" ht="15" hidden="false" customHeight="true" outlineLevel="0" collapsed="false">
      <c r="A9" s="2" t="s">
        <v>333</v>
      </c>
      <c r="B9" s="23" t="n">
        <f aca="false">SUM(C9:CP9)</f>
        <v>170.25</v>
      </c>
      <c r="C9" s="26" t="n">
        <f aca="false">IF(WEEKDAY(C$3,2)&gt;5,0,SUMPRODUCT(('Assignment Calc'!$D$5:$D$132=$A9)*('Assignment Calc'!$H$5:$H$132&lt;&gt;"")*('Assignment Calc'!$H$5:$H$132&lt;=C$3)*('Assignment Calc'!$I$5:$I$132&gt;=C$3)*'Assignment Calc'!$K$5:$K$132*'Assignment Calc'!$L$5:$L$132*'Assignment Calc'!$M$5:$M$132))</f>
        <v>0</v>
      </c>
      <c r="D9" s="26" t="n">
        <f aca="false">IF(WEEKDAY(D$3,2)&gt;5,0,SUMPRODUCT(('Assignment Calc'!$D$5:$D$132=$A9)*('Assignment Calc'!$H$5:$H$132&lt;&gt;"")*('Assignment Calc'!$H$5:$H$132&lt;=D$3)*('Assignment Calc'!$I$5:$I$132&gt;=D$3)*'Assignment Calc'!$K$5:$K$132*'Assignment Calc'!$L$5:$L$132*'Assignment Calc'!$M$5:$M$132))</f>
        <v>0</v>
      </c>
      <c r="E9" s="26" t="n">
        <f aca="false">IF(WEEKDAY(E$3,2)&gt;5,0,SUMPRODUCT(('Assignment Calc'!$D$5:$D$132=$A9)*('Assignment Calc'!$H$5:$H$132&lt;&gt;"")*('Assignment Calc'!$H$5:$H$132&lt;=E$3)*('Assignment Calc'!$I$5:$I$132&gt;=E$3)*'Assignment Calc'!$K$5:$K$132*'Assignment Calc'!$L$5:$L$132*'Assignment Calc'!$M$5:$M$132))</f>
        <v>0</v>
      </c>
      <c r="F9" s="26" t="n">
        <f aca="false">IF(WEEKDAY(F$3,2)&gt;5,0,SUMPRODUCT(('Assignment Calc'!$D$5:$D$132=$A9)*('Assignment Calc'!$H$5:$H$132&lt;&gt;"")*('Assignment Calc'!$H$5:$H$132&lt;=F$3)*('Assignment Calc'!$I$5:$I$132&gt;=F$3)*'Assignment Calc'!$K$5:$K$132*'Assignment Calc'!$L$5:$L$132*'Assignment Calc'!$M$5:$M$132))</f>
        <v>0</v>
      </c>
      <c r="G9" s="26" t="n">
        <f aca="false">IF(WEEKDAY(G$3,2)&gt;5,0,SUMPRODUCT(('Assignment Calc'!$D$5:$D$132=$A9)*('Assignment Calc'!$H$5:$H$132&lt;&gt;"")*('Assignment Calc'!$H$5:$H$132&lt;=G$3)*('Assignment Calc'!$I$5:$I$132&gt;=G$3)*'Assignment Calc'!$K$5:$K$132*'Assignment Calc'!$L$5:$L$132*'Assignment Calc'!$M$5:$M$132))</f>
        <v>0</v>
      </c>
      <c r="H9" s="26" t="n">
        <f aca="false">IF(WEEKDAY(H$3,2)&gt;5,0,SUMPRODUCT(('Assignment Calc'!$D$5:$D$132=$A9)*('Assignment Calc'!$H$5:$H$132&lt;&gt;"")*('Assignment Calc'!$H$5:$H$132&lt;=H$3)*('Assignment Calc'!$I$5:$I$132&gt;=H$3)*'Assignment Calc'!$K$5:$K$132*'Assignment Calc'!$L$5:$L$132*'Assignment Calc'!$M$5:$M$132))</f>
        <v>0</v>
      </c>
      <c r="I9" s="26" t="n">
        <f aca="false">IF(WEEKDAY(I$3,2)&gt;5,0,SUMPRODUCT(('Assignment Calc'!$D$5:$D$132=$A9)*('Assignment Calc'!$H$5:$H$132&lt;&gt;"")*('Assignment Calc'!$H$5:$H$132&lt;=I$3)*('Assignment Calc'!$I$5:$I$132&gt;=I$3)*'Assignment Calc'!$K$5:$K$132*'Assignment Calc'!$L$5:$L$132*'Assignment Calc'!$M$5:$M$132))</f>
        <v>0</v>
      </c>
      <c r="J9" s="26" t="n">
        <f aca="false">IF(WEEKDAY(J$3,2)&gt;5,0,SUMPRODUCT(('Assignment Calc'!$D$5:$D$132=$A9)*('Assignment Calc'!$H$5:$H$132&lt;&gt;"")*('Assignment Calc'!$H$5:$H$132&lt;=J$3)*('Assignment Calc'!$I$5:$I$132&gt;=J$3)*'Assignment Calc'!$K$5:$K$132*'Assignment Calc'!$L$5:$L$132*'Assignment Calc'!$M$5:$M$132))</f>
        <v>0</v>
      </c>
      <c r="K9" s="26" t="n">
        <f aca="false">IF(WEEKDAY(K$3,2)&gt;5,0,SUMPRODUCT(('Assignment Calc'!$D$5:$D$132=$A9)*('Assignment Calc'!$H$5:$H$132&lt;&gt;"")*('Assignment Calc'!$H$5:$H$132&lt;=K$3)*('Assignment Calc'!$I$5:$I$132&gt;=K$3)*'Assignment Calc'!$K$5:$K$132*'Assignment Calc'!$L$5:$L$132*'Assignment Calc'!$M$5:$M$132))</f>
        <v>0</v>
      </c>
      <c r="L9" s="26" t="n">
        <f aca="false">IF(WEEKDAY(L$3,2)&gt;5,0,SUMPRODUCT(('Assignment Calc'!$D$5:$D$132=$A9)*('Assignment Calc'!$H$5:$H$132&lt;&gt;"")*('Assignment Calc'!$H$5:$H$132&lt;=L$3)*('Assignment Calc'!$I$5:$I$132&gt;=L$3)*'Assignment Calc'!$K$5:$K$132*'Assignment Calc'!$L$5:$L$132*'Assignment Calc'!$M$5:$M$132))</f>
        <v>0</v>
      </c>
      <c r="M9" s="26" t="n">
        <f aca="false">IF(WEEKDAY(M$3,2)&gt;5,0,SUMPRODUCT(('Assignment Calc'!$D$5:$D$132=$A9)*('Assignment Calc'!$H$5:$H$132&lt;&gt;"")*('Assignment Calc'!$H$5:$H$132&lt;=M$3)*('Assignment Calc'!$I$5:$I$132&gt;=M$3)*'Assignment Calc'!$K$5:$K$132*'Assignment Calc'!$L$5:$L$132*'Assignment Calc'!$M$5:$M$132))</f>
        <v>0</v>
      </c>
      <c r="N9" s="26" t="n">
        <f aca="false">IF(WEEKDAY(N$3,2)&gt;5,0,SUMPRODUCT(('Assignment Calc'!$D$5:$D$132=$A9)*('Assignment Calc'!$H$5:$H$132&lt;&gt;"")*('Assignment Calc'!$H$5:$H$132&lt;=N$3)*('Assignment Calc'!$I$5:$I$132&gt;=N$3)*'Assignment Calc'!$K$5:$K$132*'Assignment Calc'!$L$5:$L$132*'Assignment Calc'!$M$5:$M$132))</f>
        <v>2.25</v>
      </c>
      <c r="O9" s="26" t="n">
        <f aca="false">IF(WEEKDAY(O$3,2)&gt;5,0,SUMPRODUCT(('Assignment Calc'!$D$5:$D$132=$A9)*('Assignment Calc'!$H$5:$H$132&lt;&gt;"")*('Assignment Calc'!$H$5:$H$132&lt;=O$3)*('Assignment Calc'!$I$5:$I$132&gt;=O$3)*'Assignment Calc'!$K$5:$K$132*'Assignment Calc'!$L$5:$L$132*'Assignment Calc'!$M$5:$M$132))</f>
        <v>2.25</v>
      </c>
      <c r="P9" s="26" t="n">
        <f aca="false">IF(WEEKDAY(P$3,2)&gt;5,0,SUMPRODUCT(('Assignment Calc'!$D$5:$D$132=$A9)*('Assignment Calc'!$H$5:$H$132&lt;&gt;"")*('Assignment Calc'!$H$5:$H$132&lt;=P$3)*('Assignment Calc'!$I$5:$I$132&gt;=P$3)*'Assignment Calc'!$K$5:$K$132*'Assignment Calc'!$L$5:$L$132*'Assignment Calc'!$M$5:$M$132))</f>
        <v>2.25</v>
      </c>
      <c r="Q9" s="26" t="n">
        <f aca="false">IF(WEEKDAY(Q$3,2)&gt;5,0,SUMPRODUCT(('Assignment Calc'!$D$5:$D$132=$A9)*('Assignment Calc'!$H$5:$H$132&lt;&gt;"")*('Assignment Calc'!$H$5:$H$132&lt;=Q$3)*('Assignment Calc'!$I$5:$I$132&gt;=Q$3)*'Assignment Calc'!$K$5:$K$132*'Assignment Calc'!$L$5:$L$132*'Assignment Calc'!$M$5:$M$132))</f>
        <v>2.25</v>
      </c>
      <c r="R9" s="26" t="n">
        <f aca="false">IF(WEEKDAY(R$3,2)&gt;5,0,SUMPRODUCT(('Assignment Calc'!$D$5:$D$132=$A9)*('Assignment Calc'!$H$5:$H$132&lt;&gt;"")*('Assignment Calc'!$H$5:$H$132&lt;=R$3)*('Assignment Calc'!$I$5:$I$132&gt;=R$3)*'Assignment Calc'!$K$5:$K$132*'Assignment Calc'!$L$5:$L$132*'Assignment Calc'!$M$5:$M$132))</f>
        <v>2.25</v>
      </c>
      <c r="S9" s="26" t="n">
        <f aca="false">IF(WEEKDAY(S$3,2)&gt;5,0,SUMPRODUCT(('Assignment Calc'!$D$5:$D$132=$A9)*('Assignment Calc'!$H$5:$H$132&lt;&gt;"")*('Assignment Calc'!$H$5:$H$132&lt;=S$3)*('Assignment Calc'!$I$5:$I$132&gt;=S$3)*'Assignment Calc'!$K$5:$K$132*'Assignment Calc'!$L$5:$L$132*'Assignment Calc'!$M$5:$M$132))</f>
        <v>0</v>
      </c>
      <c r="T9" s="26" t="n">
        <f aca="false">IF(WEEKDAY(T$3,2)&gt;5,0,SUMPRODUCT(('Assignment Calc'!$D$5:$D$132=$A9)*('Assignment Calc'!$H$5:$H$132&lt;&gt;"")*('Assignment Calc'!$H$5:$H$132&lt;=T$3)*('Assignment Calc'!$I$5:$I$132&gt;=T$3)*'Assignment Calc'!$K$5:$K$132*'Assignment Calc'!$L$5:$L$132*'Assignment Calc'!$M$5:$M$132))</f>
        <v>0</v>
      </c>
      <c r="U9" s="26" t="n">
        <f aca="false">IF(WEEKDAY(U$3,2)&gt;5,0,SUMPRODUCT(('Assignment Calc'!$D$5:$D$132=$A9)*('Assignment Calc'!$H$5:$H$132&lt;&gt;"")*('Assignment Calc'!$H$5:$H$132&lt;=U$3)*('Assignment Calc'!$I$5:$I$132&gt;=U$3)*'Assignment Calc'!$K$5:$K$132*'Assignment Calc'!$L$5:$L$132*'Assignment Calc'!$M$5:$M$132))</f>
        <v>0</v>
      </c>
      <c r="V9" s="26" t="n">
        <f aca="false">IF(WEEKDAY(V$3,2)&gt;5,0,SUMPRODUCT(('Assignment Calc'!$D$5:$D$132=$A9)*('Assignment Calc'!$H$5:$H$132&lt;&gt;"")*('Assignment Calc'!$H$5:$H$132&lt;=V$3)*('Assignment Calc'!$I$5:$I$132&gt;=V$3)*'Assignment Calc'!$K$5:$K$132*'Assignment Calc'!$L$5:$L$132*'Assignment Calc'!$M$5:$M$132))</f>
        <v>0</v>
      </c>
      <c r="W9" s="26" t="n">
        <f aca="false">IF(WEEKDAY(W$3,2)&gt;5,0,SUMPRODUCT(('Assignment Calc'!$D$5:$D$132=$A9)*('Assignment Calc'!$H$5:$H$132&lt;&gt;"")*('Assignment Calc'!$H$5:$H$132&lt;=W$3)*('Assignment Calc'!$I$5:$I$132&gt;=W$3)*'Assignment Calc'!$K$5:$K$132*'Assignment Calc'!$L$5:$L$132*'Assignment Calc'!$M$5:$M$132))</f>
        <v>0</v>
      </c>
      <c r="X9" s="26" t="n">
        <f aca="false">IF(WEEKDAY(X$3,2)&gt;5,0,SUMPRODUCT(('Assignment Calc'!$D$5:$D$132=$A9)*('Assignment Calc'!$H$5:$H$132&lt;&gt;"")*('Assignment Calc'!$H$5:$H$132&lt;=X$3)*('Assignment Calc'!$I$5:$I$132&gt;=X$3)*'Assignment Calc'!$K$5:$K$132*'Assignment Calc'!$L$5:$L$132*'Assignment Calc'!$M$5:$M$132))</f>
        <v>0</v>
      </c>
      <c r="Y9" s="26" t="n">
        <f aca="false">IF(WEEKDAY(Y$3,2)&gt;5,0,SUMPRODUCT(('Assignment Calc'!$D$5:$D$132=$A9)*('Assignment Calc'!$H$5:$H$132&lt;&gt;"")*('Assignment Calc'!$H$5:$H$132&lt;=Y$3)*('Assignment Calc'!$I$5:$I$132&gt;=Y$3)*'Assignment Calc'!$K$5:$K$132*'Assignment Calc'!$L$5:$L$132*'Assignment Calc'!$M$5:$M$132))</f>
        <v>0</v>
      </c>
      <c r="Z9" s="26" t="n">
        <f aca="false">IF(WEEKDAY(Z$3,2)&gt;5,0,SUMPRODUCT(('Assignment Calc'!$D$5:$D$132=$A9)*('Assignment Calc'!$H$5:$H$132&lt;&gt;"")*('Assignment Calc'!$H$5:$H$132&lt;=Z$3)*('Assignment Calc'!$I$5:$I$132&gt;=Z$3)*'Assignment Calc'!$K$5:$K$132*'Assignment Calc'!$L$5:$L$132*'Assignment Calc'!$M$5:$M$132))</f>
        <v>0</v>
      </c>
      <c r="AA9" s="26" t="n">
        <f aca="false">IF(WEEKDAY(AA$3,2)&gt;5,0,SUMPRODUCT(('Assignment Calc'!$D$5:$D$132=$A9)*('Assignment Calc'!$H$5:$H$132&lt;&gt;"")*('Assignment Calc'!$H$5:$H$132&lt;=AA$3)*('Assignment Calc'!$I$5:$I$132&gt;=AA$3)*'Assignment Calc'!$K$5:$K$132*'Assignment Calc'!$L$5:$L$132*'Assignment Calc'!$M$5:$M$132))</f>
        <v>0</v>
      </c>
      <c r="AB9" s="26" t="n">
        <f aca="false">IF(WEEKDAY(AB$3,2)&gt;5,0,SUMPRODUCT(('Assignment Calc'!$D$5:$D$132=$A9)*('Assignment Calc'!$H$5:$H$132&lt;&gt;"")*('Assignment Calc'!$H$5:$H$132&lt;=AB$3)*('Assignment Calc'!$I$5:$I$132&gt;=AB$3)*'Assignment Calc'!$K$5:$K$132*'Assignment Calc'!$L$5:$L$132*'Assignment Calc'!$M$5:$M$132))</f>
        <v>13.5</v>
      </c>
      <c r="AC9" s="26" t="n">
        <f aca="false">IF(WEEKDAY(AC$3,2)&gt;5,0,SUMPRODUCT(('Assignment Calc'!$D$5:$D$132=$A9)*('Assignment Calc'!$H$5:$H$132&lt;&gt;"")*('Assignment Calc'!$H$5:$H$132&lt;=AC$3)*('Assignment Calc'!$I$5:$I$132&gt;=AC$3)*'Assignment Calc'!$K$5:$K$132*'Assignment Calc'!$L$5:$L$132*'Assignment Calc'!$M$5:$M$132))</f>
        <v>13.5</v>
      </c>
      <c r="AD9" s="26" t="n">
        <f aca="false">IF(WEEKDAY(AD$3,2)&gt;5,0,SUMPRODUCT(('Assignment Calc'!$D$5:$D$132=$A9)*('Assignment Calc'!$H$5:$H$132&lt;&gt;"")*('Assignment Calc'!$H$5:$H$132&lt;=AD$3)*('Assignment Calc'!$I$5:$I$132&gt;=AD$3)*'Assignment Calc'!$K$5:$K$132*'Assignment Calc'!$L$5:$L$132*'Assignment Calc'!$M$5:$M$132))</f>
        <v>13.5</v>
      </c>
      <c r="AE9" s="26" t="n">
        <f aca="false">IF(WEEKDAY(AE$3,2)&gt;5,0,SUMPRODUCT(('Assignment Calc'!$D$5:$D$132=$A9)*('Assignment Calc'!$H$5:$H$132&lt;&gt;"")*('Assignment Calc'!$H$5:$H$132&lt;=AE$3)*('Assignment Calc'!$I$5:$I$132&gt;=AE$3)*'Assignment Calc'!$K$5:$K$132*'Assignment Calc'!$L$5:$L$132*'Assignment Calc'!$M$5:$M$132))</f>
        <v>13.5</v>
      </c>
      <c r="AF9" s="26" t="n">
        <f aca="false">IF(WEEKDAY(AF$3,2)&gt;5,0,SUMPRODUCT(('Assignment Calc'!$D$5:$D$132=$A9)*('Assignment Calc'!$H$5:$H$132&lt;&gt;"")*('Assignment Calc'!$H$5:$H$132&lt;=AF$3)*('Assignment Calc'!$I$5:$I$132&gt;=AF$3)*'Assignment Calc'!$K$5:$K$132*'Assignment Calc'!$L$5:$L$132*'Assignment Calc'!$M$5:$M$132))</f>
        <v>13.5</v>
      </c>
      <c r="AG9" s="26" t="n">
        <f aca="false">IF(WEEKDAY(AG$3,2)&gt;5,0,SUMPRODUCT(('Assignment Calc'!$D$5:$D$132=$A9)*('Assignment Calc'!$H$5:$H$132&lt;&gt;"")*('Assignment Calc'!$H$5:$H$132&lt;=AG$3)*('Assignment Calc'!$I$5:$I$132&gt;=AG$3)*'Assignment Calc'!$K$5:$K$132*'Assignment Calc'!$L$5:$L$132*'Assignment Calc'!$M$5:$M$132))</f>
        <v>0</v>
      </c>
      <c r="AH9" s="26" t="n">
        <f aca="false">IF(WEEKDAY(AH$3,2)&gt;5,0,SUMPRODUCT(('Assignment Calc'!$D$5:$D$132=$A9)*('Assignment Calc'!$H$5:$H$132&lt;&gt;"")*('Assignment Calc'!$H$5:$H$132&lt;=AH$3)*('Assignment Calc'!$I$5:$I$132&gt;=AH$3)*'Assignment Calc'!$K$5:$K$132*'Assignment Calc'!$L$5:$L$132*'Assignment Calc'!$M$5:$M$132))</f>
        <v>0</v>
      </c>
      <c r="AI9" s="26" t="n">
        <f aca="false">IF(WEEKDAY(AI$3,2)&gt;5,0,SUMPRODUCT(('Assignment Calc'!$D$5:$D$132=$A9)*('Assignment Calc'!$H$5:$H$132&lt;&gt;"")*('Assignment Calc'!$H$5:$H$132&lt;=AI$3)*('Assignment Calc'!$I$5:$I$132&gt;=AI$3)*'Assignment Calc'!$K$5:$K$132*'Assignment Calc'!$L$5:$L$132*'Assignment Calc'!$M$5:$M$132))</f>
        <v>0</v>
      </c>
      <c r="AJ9" s="26" t="n">
        <f aca="false">IF(WEEKDAY(AJ$3,2)&gt;5,0,SUMPRODUCT(('Assignment Calc'!$D$5:$D$132=$A9)*('Assignment Calc'!$H$5:$H$132&lt;&gt;"")*('Assignment Calc'!$H$5:$H$132&lt;=AJ$3)*('Assignment Calc'!$I$5:$I$132&gt;=AJ$3)*'Assignment Calc'!$K$5:$K$132*'Assignment Calc'!$L$5:$L$132*'Assignment Calc'!$M$5:$M$132))</f>
        <v>0</v>
      </c>
      <c r="AK9" s="26" t="n">
        <f aca="false">IF(WEEKDAY(AK$3,2)&gt;5,0,SUMPRODUCT(('Assignment Calc'!$D$5:$D$132=$A9)*('Assignment Calc'!$H$5:$H$132&lt;&gt;"")*('Assignment Calc'!$H$5:$H$132&lt;=AK$3)*('Assignment Calc'!$I$5:$I$132&gt;=AK$3)*'Assignment Calc'!$K$5:$K$132*'Assignment Calc'!$L$5:$L$132*'Assignment Calc'!$M$5:$M$132))</f>
        <v>0</v>
      </c>
      <c r="AL9" s="26" t="n">
        <f aca="false">IF(WEEKDAY(AL$3,2)&gt;5,0,SUMPRODUCT(('Assignment Calc'!$D$5:$D$132=$A9)*('Assignment Calc'!$H$5:$H$132&lt;&gt;"")*('Assignment Calc'!$H$5:$H$132&lt;=AL$3)*('Assignment Calc'!$I$5:$I$132&gt;=AL$3)*'Assignment Calc'!$K$5:$K$132*'Assignment Calc'!$L$5:$L$132*'Assignment Calc'!$M$5:$M$132))</f>
        <v>0</v>
      </c>
      <c r="AM9" s="26" t="n">
        <f aca="false">IF(WEEKDAY(AM$3,2)&gt;5,0,SUMPRODUCT(('Assignment Calc'!$D$5:$D$132=$A9)*('Assignment Calc'!$H$5:$H$132&lt;&gt;"")*('Assignment Calc'!$H$5:$H$132&lt;=AM$3)*('Assignment Calc'!$I$5:$I$132&gt;=AM$3)*'Assignment Calc'!$K$5:$K$132*'Assignment Calc'!$L$5:$L$132*'Assignment Calc'!$M$5:$M$132))</f>
        <v>0</v>
      </c>
      <c r="AN9" s="26" t="n">
        <f aca="false">IF(WEEKDAY(AN$3,2)&gt;5,0,SUMPRODUCT(('Assignment Calc'!$D$5:$D$132=$A9)*('Assignment Calc'!$H$5:$H$132&lt;&gt;"")*('Assignment Calc'!$H$5:$H$132&lt;=AN$3)*('Assignment Calc'!$I$5:$I$132&gt;=AN$3)*'Assignment Calc'!$K$5:$K$132*'Assignment Calc'!$L$5:$L$132*'Assignment Calc'!$M$5:$M$132))</f>
        <v>0</v>
      </c>
      <c r="AO9" s="26" t="n">
        <f aca="false">IF(WEEKDAY(AO$3,2)&gt;5,0,SUMPRODUCT(('Assignment Calc'!$D$5:$D$132=$A9)*('Assignment Calc'!$H$5:$H$132&lt;&gt;"")*('Assignment Calc'!$H$5:$H$132&lt;=AO$3)*('Assignment Calc'!$I$5:$I$132&gt;=AO$3)*'Assignment Calc'!$K$5:$K$132*'Assignment Calc'!$L$5:$L$132*'Assignment Calc'!$M$5:$M$132))</f>
        <v>0</v>
      </c>
      <c r="AP9" s="26" t="n">
        <f aca="false">IF(WEEKDAY(AP$3,2)&gt;5,0,SUMPRODUCT(('Assignment Calc'!$D$5:$D$132=$A9)*('Assignment Calc'!$H$5:$H$132&lt;&gt;"")*('Assignment Calc'!$H$5:$H$132&lt;=AP$3)*('Assignment Calc'!$I$5:$I$132&gt;=AP$3)*'Assignment Calc'!$K$5:$K$132*'Assignment Calc'!$L$5:$L$132*'Assignment Calc'!$M$5:$M$132))</f>
        <v>0</v>
      </c>
      <c r="AQ9" s="26" t="n">
        <f aca="false">IF(WEEKDAY(AQ$3,2)&gt;5,0,SUMPRODUCT(('Assignment Calc'!$D$5:$D$132=$A9)*('Assignment Calc'!$H$5:$H$132&lt;&gt;"")*('Assignment Calc'!$H$5:$H$132&lt;=AQ$3)*('Assignment Calc'!$I$5:$I$132&gt;=AQ$3)*'Assignment Calc'!$K$5:$K$132*'Assignment Calc'!$L$5:$L$132*'Assignment Calc'!$M$5:$M$132))</f>
        <v>0</v>
      </c>
      <c r="AR9" s="26" t="n">
        <f aca="false">IF(WEEKDAY(AR$3,2)&gt;5,0,SUMPRODUCT(('Assignment Calc'!$D$5:$D$132=$A9)*('Assignment Calc'!$H$5:$H$132&lt;&gt;"")*('Assignment Calc'!$H$5:$H$132&lt;=AR$3)*('Assignment Calc'!$I$5:$I$132&gt;=AR$3)*'Assignment Calc'!$K$5:$K$132*'Assignment Calc'!$L$5:$L$132*'Assignment Calc'!$M$5:$M$132))</f>
        <v>0</v>
      </c>
      <c r="AS9" s="26" t="n">
        <f aca="false">IF(WEEKDAY(AS$3,2)&gt;5,0,SUMPRODUCT(('Assignment Calc'!$D$5:$D$132=$A9)*('Assignment Calc'!$H$5:$H$132&lt;&gt;"")*('Assignment Calc'!$H$5:$H$132&lt;=AS$3)*('Assignment Calc'!$I$5:$I$132&gt;=AS$3)*'Assignment Calc'!$K$5:$K$132*'Assignment Calc'!$L$5:$L$132*'Assignment Calc'!$M$5:$M$132))</f>
        <v>0</v>
      </c>
      <c r="AT9" s="26" t="n">
        <f aca="false">IF(WEEKDAY(AT$3,2)&gt;5,0,SUMPRODUCT(('Assignment Calc'!$D$5:$D$132=$A9)*('Assignment Calc'!$H$5:$H$132&lt;&gt;"")*('Assignment Calc'!$H$5:$H$132&lt;=AT$3)*('Assignment Calc'!$I$5:$I$132&gt;=AT$3)*'Assignment Calc'!$K$5:$K$132*'Assignment Calc'!$L$5:$L$132*'Assignment Calc'!$M$5:$M$132))</f>
        <v>0</v>
      </c>
      <c r="AU9" s="26" t="n">
        <f aca="false">IF(WEEKDAY(AU$3,2)&gt;5,0,SUMPRODUCT(('Assignment Calc'!$D$5:$D$132=$A9)*('Assignment Calc'!$H$5:$H$132&lt;&gt;"")*('Assignment Calc'!$H$5:$H$132&lt;=AU$3)*('Assignment Calc'!$I$5:$I$132&gt;=AU$3)*'Assignment Calc'!$K$5:$K$132*'Assignment Calc'!$L$5:$L$132*'Assignment Calc'!$M$5:$M$132))</f>
        <v>0</v>
      </c>
      <c r="AV9" s="26" t="n">
        <f aca="false">IF(WEEKDAY(AV$3,2)&gt;5,0,SUMPRODUCT(('Assignment Calc'!$D$5:$D$132=$A9)*('Assignment Calc'!$H$5:$H$132&lt;&gt;"")*('Assignment Calc'!$H$5:$H$132&lt;=AV$3)*('Assignment Calc'!$I$5:$I$132&gt;=AV$3)*'Assignment Calc'!$K$5:$K$132*'Assignment Calc'!$L$5:$L$132*'Assignment Calc'!$M$5:$M$132))</f>
        <v>0</v>
      </c>
      <c r="AW9" s="26" t="n">
        <f aca="false">IF(WEEKDAY(AW$3,2)&gt;5,0,SUMPRODUCT(('Assignment Calc'!$D$5:$D$132=$A9)*('Assignment Calc'!$H$5:$H$132&lt;&gt;"")*('Assignment Calc'!$H$5:$H$132&lt;=AW$3)*('Assignment Calc'!$I$5:$I$132&gt;=AW$3)*'Assignment Calc'!$K$5:$K$132*'Assignment Calc'!$L$5:$L$132*'Assignment Calc'!$M$5:$M$132))</f>
        <v>0</v>
      </c>
      <c r="AX9" s="26" t="n">
        <f aca="false">IF(WEEKDAY(AX$3,2)&gt;5,0,SUMPRODUCT(('Assignment Calc'!$D$5:$D$132=$A9)*('Assignment Calc'!$H$5:$H$132&lt;&gt;"")*('Assignment Calc'!$H$5:$H$132&lt;=AX$3)*('Assignment Calc'!$I$5:$I$132&gt;=AX$3)*'Assignment Calc'!$K$5:$K$132*'Assignment Calc'!$L$5:$L$132*'Assignment Calc'!$M$5:$M$132))</f>
        <v>0</v>
      </c>
      <c r="AY9" s="26" t="n">
        <f aca="false">IF(WEEKDAY(AY$3,2)&gt;5,0,SUMPRODUCT(('Assignment Calc'!$D$5:$D$132=$A9)*('Assignment Calc'!$H$5:$H$132&lt;&gt;"")*('Assignment Calc'!$H$5:$H$132&lt;=AY$3)*('Assignment Calc'!$I$5:$I$132&gt;=AY$3)*'Assignment Calc'!$K$5:$K$132*'Assignment Calc'!$L$5:$L$132*'Assignment Calc'!$M$5:$M$132))</f>
        <v>0</v>
      </c>
      <c r="AZ9" s="26" t="n">
        <f aca="false">IF(WEEKDAY(AZ$3,2)&gt;5,0,SUMPRODUCT(('Assignment Calc'!$D$5:$D$132=$A9)*('Assignment Calc'!$H$5:$H$132&lt;&gt;"")*('Assignment Calc'!$H$5:$H$132&lt;=AZ$3)*('Assignment Calc'!$I$5:$I$132&gt;=AZ$3)*'Assignment Calc'!$K$5:$K$132*'Assignment Calc'!$L$5:$L$132*'Assignment Calc'!$M$5:$M$132))</f>
        <v>0</v>
      </c>
      <c r="BA9" s="26" t="n">
        <f aca="false">IF(WEEKDAY(BA$3,2)&gt;5,0,SUMPRODUCT(('Assignment Calc'!$D$5:$D$132=$A9)*('Assignment Calc'!$H$5:$H$132&lt;&gt;"")*('Assignment Calc'!$H$5:$H$132&lt;=BA$3)*('Assignment Calc'!$I$5:$I$132&gt;=BA$3)*'Assignment Calc'!$K$5:$K$132*'Assignment Calc'!$L$5:$L$132*'Assignment Calc'!$M$5:$M$132))</f>
        <v>0</v>
      </c>
      <c r="BB9" s="26" t="n">
        <f aca="false">IF(WEEKDAY(BB$3,2)&gt;5,0,SUMPRODUCT(('Assignment Calc'!$D$5:$D$132=$A9)*('Assignment Calc'!$H$5:$H$132&lt;&gt;"")*('Assignment Calc'!$H$5:$H$132&lt;=BB$3)*('Assignment Calc'!$I$5:$I$132&gt;=BB$3)*'Assignment Calc'!$K$5:$K$132*'Assignment Calc'!$L$5:$L$132*'Assignment Calc'!$M$5:$M$132))</f>
        <v>0</v>
      </c>
      <c r="BC9" s="26" t="n">
        <f aca="false">IF(WEEKDAY(BC$3,2)&gt;5,0,SUMPRODUCT(('Assignment Calc'!$D$5:$D$132=$A9)*('Assignment Calc'!$H$5:$H$132&lt;&gt;"")*('Assignment Calc'!$H$5:$H$132&lt;=BC$3)*('Assignment Calc'!$I$5:$I$132&gt;=BC$3)*'Assignment Calc'!$K$5:$K$132*'Assignment Calc'!$L$5:$L$132*'Assignment Calc'!$M$5:$M$132))</f>
        <v>0</v>
      </c>
      <c r="BD9" s="26" t="n">
        <f aca="false">IF(WEEKDAY(BD$3,2)&gt;5,0,SUMPRODUCT(('Assignment Calc'!$D$5:$D$132=$A9)*('Assignment Calc'!$H$5:$H$132&lt;&gt;"")*('Assignment Calc'!$H$5:$H$132&lt;=BD$3)*('Assignment Calc'!$I$5:$I$132&gt;=BD$3)*'Assignment Calc'!$K$5:$K$132*'Assignment Calc'!$L$5:$L$132*'Assignment Calc'!$M$5:$M$132))</f>
        <v>0</v>
      </c>
      <c r="BE9" s="26" t="n">
        <f aca="false">IF(WEEKDAY(BE$3,2)&gt;5,0,SUMPRODUCT(('Assignment Calc'!$D$5:$D$132=$A9)*('Assignment Calc'!$H$5:$H$132&lt;&gt;"")*('Assignment Calc'!$H$5:$H$132&lt;=BE$3)*('Assignment Calc'!$I$5:$I$132&gt;=BE$3)*'Assignment Calc'!$K$5:$K$132*'Assignment Calc'!$L$5:$L$132*'Assignment Calc'!$M$5:$M$132))</f>
        <v>0</v>
      </c>
      <c r="BF9" s="26" t="n">
        <f aca="false">IF(WEEKDAY(BF$3,2)&gt;5,0,SUMPRODUCT(('Assignment Calc'!$D$5:$D$132=$A9)*('Assignment Calc'!$H$5:$H$132&lt;&gt;"")*('Assignment Calc'!$H$5:$H$132&lt;=BF$3)*('Assignment Calc'!$I$5:$I$132&gt;=BF$3)*'Assignment Calc'!$K$5:$K$132*'Assignment Calc'!$L$5:$L$132*'Assignment Calc'!$M$5:$M$132))</f>
        <v>0</v>
      </c>
      <c r="BG9" s="26" t="n">
        <f aca="false">IF(WEEKDAY(BG$3,2)&gt;5,0,SUMPRODUCT(('Assignment Calc'!$D$5:$D$132=$A9)*('Assignment Calc'!$H$5:$H$132&lt;&gt;"")*('Assignment Calc'!$H$5:$H$132&lt;=BG$3)*('Assignment Calc'!$I$5:$I$132&gt;=BG$3)*'Assignment Calc'!$K$5:$K$132*'Assignment Calc'!$L$5:$L$132*'Assignment Calc'!$M$5:$M$132))</f>
        <v>0</v>
      </c>
      <c r="BH9" s="26" t="n">
        <f aca="false">IF(WEEKDAY(BH$3,2)&gt;5,0,SUMPRODUCT(('Assignment Calc'!$D$5:$D$132=$A9)*('Assignment Calc'!$H$5:$H$132&lt;&gt;"")*('Assignment Calc'!$H$5:$H$132&lt;=BH$3)*('Assignment Calc'!$I$5:$I$132&gt;=BH$3)*'Assignment Calc'!$K$5:$K$132*'Assignment Calc'!$L$5:$L$132*'Assignment Calc'!$M$5:$M$132))</f>
        <v>0</v>
      </c>
      <c r="BI9" s="26" t="n">
        <f aca="false">IF(WEEKDAY(BI$3,2)&gt;5,0,SUMPRODUCT(('Assignment Calc'!$D$5:$D$132=$A9)*('Assignment Calc'!$H$5:$H$132&lt;&gt;"")*('Assignment Calc'!$H$5:$H$132&lt;=BI$3)*('Assignment Calc'!$I$5:$I$132&gt;=BI$3)*'Assignment Calc'!$K$5:$K$132*'Assignment Calc'!$L$5:$L$132*'Assignment Calc'!$M$5:$M$132))</f>
        <v>0</v>
      </c>
      <c r="BJ9" s="26" t="n">
        <f aca="false">IF(WEEKDAY(BJ$3,2)&gt;5,0,SUMPRODUCT(('Assignment Calc'!$D$5:$D$132=$A9)*('Assignment Calc'!$H$5:$H$132&lt;&gt;"")*('Assignment Calc'!$H$5:$H$132&lt;=BJ$3)*('Assignment Calc'!$I$5:$I$132&gt;=BJ$3)*'Assignment Calc'!$K$5:$K$132*'Assignment Calc'!$L$5:$L$132*'Assignment Calc'!$M$5:$M$132))</f>
        <v>0</v>
      </c>
      <c r="BK9" s="26" t="n">
        <f aca="false">IF(WEEKDAY(BK$3,2)&gt;5,0,SUMPRODUCT(('Assignment Calc'!$D$5:$D$132=$A9)*('Assignment Calc'!$H$5:$H$132&lt;&gt;"")*('Assignment Calc'!$H$5:$H$132&lt;=BK$3)*('Assignment Calc'!$I$5:$I$132&gt;=BK$3)*'Assignment Calc'!$K$5:$K$132*'Assignment Calc'!$L$5:$L$132*'Assignment Calc'!$M$5:$M$132))</f>
        <v>0</v>
      </c>
      <c r="BL9" s="26" t="n">
        <f aca="false">IF(WEEKDAY(BL$3,2)&gt;5,0,SUMPRODUCT(('Assignment Calc'!$D$5:$D$132=$A9)*('Assignment Calc'!$H$5:$H$132&lt;&gt;"")*('Assignment Calc'!$H$5:$H$132&lt;=BL$3)*('Assignment Calc'!$I$5:$I$132&gt;=BL$3)*'Assignment Calc'!$K$5:$K$132*'Assignment Calc'!$L$5:$L$132*'Assignment Calc'!$M$5:$M$132))</f>
        <v>6</v>
      </c>
      <c r="BM9" s="26" t="n">
        <f aca="false">IF(WEEKDAY(BM$3,2)&gt;5,0,SUMPRODUCT(('Assignment Calc'!$D$5:$D$132=$A9)*('Assignment Calc'!$H$5:$H$132&lt;&gt;"")*('Assignment Calc'!$H$5:$H$132&lt;=BM$3)*('Assignment Calc'!$I$5:$I$132&gt;=BM$3)*'Assignment Calc'!$K$5:$K$132*'Assignment Calc'!$L$5:$L$132*'Assignment Calc'!$M$5:$M$132))</f>
        <v>6</v>
      </c>
      <c r="BN9" s="26" t="n">
        <f aca="false">IF(WEEKDAY(BN$3,2)&gt;5,0,SUMPRODUCT(('Assignment Calc'!$D$5:$D$132=$A9)*('Assignment Calc'!$H$5:$H$132&lt;&gt;"")*('Assignment Calc'!$H$5:$H$132&lt;=BN$3)*('Assignment Calc'!$I$5:$I$132&gt;=BN$3)*'Assignment Calc'!$K$5:$K$132*'Assignment Calc'!$L$5:$L$132*'Assignment Calc'!$M$5:$M$132))</f>
        <v>6</v>
      </c>
      <c r="BO9" s="26" t="n">
        <f aca="false">IF(WEEKDAY(BO$3,2)&gt;5,0,SUMPRODUCT(('Assignment Calc'!$D$5:$D$132=$A9)*('Assignment Calc'!$H$5:$H$132&lt;&gt;"")*('Assignment Calc'!$H$5:$H$132&lt;=BO$3)*('Assignment Calc'!$I$5:$I$132&gt;=BO$3)*'Assignment Calc'!$K$5:$K$132*'Assignment Calc'!$L$5:$L$132*'Assignment Calc'!$M$5:$M$132))</f>
        <v>6</v>
      </c>
      <c r="BP9" s="26" t="n">
        <f aca="false">IF(WEEKDAY(BP$3,2)&gt;5,0,SUMPRODUCT(('Assignment Calc'!$D$5:$D$132=$A9)*('Assignment Calc'!$H$5:$H$132&lt;&gt;"")*('Assignment Calc'!$H$5:$H$132&lt;=BP$3)*('Assignment Calc'!$I$5:$I$132&gt;=BP$3)*'Assignment Calc'!$K$5:$K$132*'Assignment Calc'!$L$5:$L$132*'Assignment Calc'!$M$5:$M$132))</f>
        <v>0</v>
      </c>
      <c r="BQ9" s="26" t="n">
        <f aca="false">IF(WEEKDAY(BQ$3,2)&gt;5,0,SUMPRODUCT(('Assignment Calc'!$D$5:$D$132=$A9)*('Assignment Calc'!$H$5:$H$132&lt;&gt;"")*('Assignment Calc'!$H$5:$H$132&lt;=BQ$3)*('Assignment Calc'!$I$5:$I$132&gt;=BQ$3)*'Assignment Calc'!$K$5:$K$132*'Assignment Calc'!$L$5:$L$132*'Assignment Calc'!$M$5:$M$132))</f>
        <v>0</v>
      </c>
      <c r="BR9" s="26" t="n">
        <f aca="false">IF(WEEKDAY(BR$3,2)&gt;5,0,SUMPRODUCT(('Assignment Calc'!$D$5:$D$132=$A9)*('Assignment Calc'!$H$5:$H$132&lt;&gt;"")*('Assignment Calc'!$H$5:$H$132&lt;=BR$3)*('Assignment Calc'!$I$5:$I$132&gt;=BR$3)*'Assignment Calc'!$K$5:$K$132*'Assignment Calc'!$L$5:$L$132*'Assignment Calc'!$M$5:$M$132))</f>
        <v>0</v>
      </c>
      <c r="BS9" s="26" t="n">
        <f aca="false">IF(WEEKDAY(BS$3,2)&gt;5,0,SUMPRODUCT(('Assignment Calc'!$D$5:$D$132=$A9)*('Assignment Calc'!$H$5:$H$132&lt;&gt;"")*('Assignment Calc'!$H$5:$H$132&lt;=BS$3)*('Assignment Calc'!$I$5:$I$132&gt;=BS$3)*'Assignment Calc'!$K$5:$K$132*'Assignment Calc'!$L$5:$L$132*'Assignment Calc'!$M$5:$M$132))</f>
        <v>0</v>
      </c>
      <c r="BT9" s="26" t="n">
        <f aca="false">IF(WEEKDAY(BT$3,2)&gt;5,0,SUMPRODUCT(('Assignment Calc'!$D$5:$D$132=$A9)*('Assignment Calc'!$H$5:$H$132&lt;&gt;"")*('Assignment Calc'!$H$5:$H$132&lt;=BT$3)*('Assignment Calc'!$I$5:$I$132&gt;=BT$3)*'Assignment Calc'!$K$5:$K$132*'Assignment Calc'!$L$5:$L$132*'Assignment Calc'!$M$5:$M$132))</f>
        <v>0</v>
      </c>
      <c r="BU9" s="26" t="n">
        <f aca="false">IF(WEEKDAY(BU$3,2)&gt;5,0,SUMPRODUCT(('Assignment Calc'!$D$5:$D$132=$A9)*('Assignment Calc'!$H$5:$H$132&lt;&gt;"")*('Assignment Calc'!$H$5:$H$132&lt;=BU$3)*('Assignment Calc'!$I$5:$I$132&gt;=BU$3)*'Assignment Calc'!$K$5:$K$132*'Assignment Calc'!$L$5:$L$132*'Assignment Calc'!$M$5:$M$132))</f>
        <v>0</v>
      </c>
      <c r="BV9" s="26" t="n">
        <f aca="false">IF(WEEKDAY(BV$3,2)&gt;5,0,SUMPRODUCT(('Assignment Calc'!$D$5:$D$132=$A9)*('Assignment Calc'!$H$5:$H$132&lt;&gt;"")*('Assignment Calc'!$H$5:$H$132&lt;=BV$3)*('Assignment Calc'!$I$5:$I$132&gt;=BV$3)*'Assignment Calc'!$K$5:$K$132*'Assignment Calc'!$L$5:$L$132*'Assignment Calc'!$M$5:$M$132))</f>
        <v>0</v>
      </c>
      <c r="BW9" s="26" t="n">
        <f aca="false">IF(WEEKDAY(BW$3,2)&gt;5,0,SUMPRODUCT(('Assignment Calc'!$D$5:$D$132=$A9)*('Assignment Calc'!$H$5:$H$132&lt;&gt;"")*('Assignment Calc'!$H$5:$H$132&lt;=BW$3)*('Assignment Calc'!$I$5:$I$132&gt;=BW$3)*'Assignment Calc'!$K$5:$K$132*'Assignment Calc'!$L$5:$L$132*'Assignment Calc'!$M$5:$M$132))</f>
        <v>0</v>
      </c>
      <c r="BX9" s="26" t="n">
        <f aca="false">IF(WEEKDAY(BX$3,2)&gt;5,0,SUMPRODUCT(('Assignment Calc'!$D$5:$D$132=$A9)*('Assignment Calc'!$H$5:$H$132&lt;&gt;"")*('Assignment Calc'!$H$5:$H$132&lt;=BX$3)*('Assignment Calc'!$I$5:$I$132&gt;=BX$3)*'Assignment Calc'!$K$5:$K$132*'Assignment Calc'!$L$5:$L$132*'Assignment Calc'!$M$5:$M$132))</f>
        <v>0</v>
      </c>
      <c r="BY9" s="26" t="n">
        <f aca="false">IF(WEEKDAY(BY$3,2)&gt;5,0,SUMPRODUCT(('Assignment Calc'!$D$5:$D$132=$A9)*('Assignment Calc'!$H$5:$H$132&lt;&gt;"")*('Assignment Calc'!$H$5:$H$132&lt;=BY$3)*('Assignment Calc'!$I$5:$I$132&gt;=BY$3)*'Assignment Calc'!$K$5:$K$132*'Assignment Calc'!$L$5:$L$132*'Assignment Calc'!$M$5:$M$132))</f>
        <v>4.5</v>
      </c>
      <c r="BZ9" s="26" t="n">
        <f aca="false">IF(WEEKDAY(BZ$3,2)&gt;5,0,SUMPRODUCT(('Assignment Calc'!$D$5:$D$132=$A9)*('Assignment Calc'!$H$5:$H$132&lt;&gt;"")*('Assignment Calc'!$H$5:$H$132&lt;=BZ$3)*('Assignment Calc'!$I$5:$I$132&gt;=BZ$3)*'Assignment Calc'!$K$5:$K$132*'Assignment Calc'!$L$5:$L$132*'Assignment Calc'!$M$5:$M$132))</f>
        <v>4.5</v>
      </c>
      <c r="CA9" s="26" t="n">
        <f aca="false">IF(WEEKDAY(CA$3,2)&gt;5,0,SUMPRODUCT(('Assignment Calc'!$D$5:$D$132=$A9)*('Assignment Calc'!$H$5:$H$132&lt;&gt;"")*('Assignment Calc'!$H$5:$H$132&lt;=CA$3)*('Assignment Calc'!$I$5:$I$132&gt;=CA$3)*'Assignment Calc'!$K$5:$K$132*'Assignment Calc'!$L$5:$L$132*'Assignment Calc'!$M$5:$M$132))</f>
        <v>4.5</v>
      </c>
      <c r="CB9" s="26" t="n">
        <f aca="false">IF(WEEKDAY(CB$3,2)&gt;5,0,SUMPRODUCT(('Assignment Calc'!$D$5:$D$132=$A9)*('Assignment Calc'!$H$5:$H$132&lt;&gt;"")*('Assignment Calc'!$H$5:$H$132&lt;=CB$3)*('Assignment Calc'!$I$5:$I$132&gt;=CB$3)*'Assignment Calc'!$K$5:$K$132*'Assignment Calc'!$L$5:$L$132*'Assignment Calc'!$M$5:$M$132))</f>
        <v>4.5</v>
      </c>
      <c r="CC9" s="26" t="n">
        <f aca="false">IF(WEEKDAY(CC$3,2)&gt;5,0,SUMPRODUCT(('Assignment Calc'!$D$5:$D$132=$A9)*('Assignment Calc'!$H$5:$H$132&lt;&gt;"")*('Assignment Calc'!$H$5:$H$132&lt;=CC$3)*('Assignment Calc'!$I$5:$I$132&gt;=CC$3)*'Assignment Calc'!$K$5:$K$132*'Assignment Calc'!$L$5:$L$132*'Assignment Calc'!$M$5:$M$132))</f>
        <v>4.5</v>
      </c>
      <c r="CD9" s="26" t="n">
        <f aca="false">IF(WEEKDAY(CD$3,2)&gt;5,0,SUMPRODUCT(('Assignment Calc'!$D$5:$D$132=$A9)*('Assignment Calc'!$H$5:$H$132&lt;&gt;"")*('Assignment Calc'!$H$5:$H$132&lt;=CD$3)*('Assignment Calc'!$I$5:$I$132&gt;=CD$3)*'Assignment Calc'!$K$5:$K$132*'Assignment Calc'!$L$5:$L$132*'Assignment Calc'!$M$5:$M$132))</f>
        <v>0</v>
      </c>
      <c r="CE9" s="26" t="n">
        <f aca="false">IF(WEEKDAY(CE$3,2)&gt;5,0,SUMPRODUCT(('Assignment Calc'!$D$5:$D$132=$A9)*('Assignment Calc'!$H$5:$H$132&lt;&gt;"")*('Assignment Calc'!$H$5:$H$132&lt;=CE$3)*('Assignment Calc'!$I$5:$I$132&gt;=CE$3)*'Assignment Calc'!$K$5:$K$132*'Assignment Calc'!$L$5:$L$132*'Assignment Calc'!$M$5:$M$132))</f>
        <v>0</v>
      </c>
      <c r="CF9" s="26" t="n">
        <f aca="false">IF(WEEKDAY(CF$3,2)&gt;5,0,SUMPRODUCT(('Assignment Calc'!$D$5:$D$132=$A9)*('Assignment Calc'!$H$5:$H$132&lt;&gt;"")*('Assignment Calc'!$H$5:$H$132&lt;=CF$3)*('Assignment Calc'!$I$5:$I$132&gt;=CF$3)*'Assignment Calc'!$K$5:$K$132*'Assignment Calc'!$L$5:$L$132*'Assignment Calc'!$M$5:$M$132))</f>
        <v>9</v>
      </c>
      <c r="CG9" s="26" t="n">
        <f aca="false">IF(WEEKDAY(CG$3,2)&gt;5,0,SUMPRODUCT(('Assignment Calc'!$D$5:$D$132=$A9)*('Assignment Calc'!$H$5:$H$132&lt;&gt;"")*('Assignment Calc'!$H$5:$H$132&lt;=CG$3)*('Assignment Calc'!$I$5:$I$132&gt;=CG$3)*'Assignment Calc'!$K$5:$K$132*'Assignment Calc'!$L$5:$L$132*'Assignment Calc'!$M$5:$M$132))</f>
        <v>9</v>
      </c>
      <c r="CH9" s="26" t="n">
        <f aca="false">IF(WEEKDAY(CH$3,2)&gt;5,0,SUMPRODUCT(('Assignment Calc'!$D$5:$D$132=$A9)*('Assignment Calc'!$H$5:$H$132&lt;&gt;"")*('Assignment Calc'!$H$5:$H$132&lt;=CH$3)*('Assignment Calc'!$I$5:$I$132&gt;=CH$3)*'Assignment Calc'!$K$5:$K$132*'Assignment Calc'!$L$5:$L$132*'Assignment Calc'!$M$5:$M$132))</f>
        <v>9</v>
      </c>
      <c r="CI9" s="26" t="n">
        <f aca="false">IF(WEEKDAY(CI$3,2)&gt;5,0,SUMPRODUCT(('Assignment Calc'!$D$5:$D$132=$A9)*('Assignment Calc'!$H$5:$H$132&lt;&gt;"")*('Assignment Calc'!$H$5:$H$132&lt;=CI$3)*('Assignment Calc'!$I$5:$I$132&gt;=CI$3)*'Assignment Calc'!$K$5:$K$132*'Assignment Calc'!$L$5:$L$132*'Assignment Calc'!$M$5:$M$132))</f>
        <v>9</v>
      </c>
      <c r="CJ9" s="26" t="n">
        <f aca="false">IF(WEEKDAY(CJ$3,2)&gt;5,0,SUMPRODUCT(('Assignment Calc'!$D$5:$D$132=$A9)*('Assignment Calc'!$H$5:$H$132&lt;&gt;"")*('Assignment Calc'!$H$5:$H$132&lt;=CJ$3)*('Assignment Calc'!$I$5:$I$132&gt;=CJ$3)*'Assignment Calc'!$K$5:$K$132*'Assignment Calc'!$L$5:$L$132*'Assignment Calc'!$M$5:$M$132))</f>
        <v>9</v>
      </c>
      <c r="CK9" s="26" t="n">
        <f aca="false">IF(WEEKDAY(CK$3,2)&gt;5,0,SUMPRODUCT(('Assignment Calc'!$D$5:$D$132=$A9)*('Assignment Calc'!$H$5:$H$132&lt;&gt;"")*('Assignment Calc'!$H$5:$H$132&lt;=CK$3)*('Assignment Calc'!$I$5:$I$132&gt;=CK$3)*'Assignment Calc'!$K$5:$K$132*'Assignment Calc'!$L$5:$L$132*'Assignment Calc'!$M$5:$M$132))</f>
        <v>0</v>
      </c>
      <c r="CL9" s="26" t="n">
        <f aca="false">IF(WEEKDAY(CL$3,2)&gt;5,0,SUMPRODUCT(('Assignment Calc'!$D$5:$D$132=$A9)*('Assignment Calc'!$H$5:$H$132&lt;&gt;"")*('Assignment Calc'!$H$5:$H$132&lt;=CL$3)*('Assignment Calc'!$I$5:$I$132&gt;=CL$3)*'Assignment Calc'!$K$5:$K$132*'Assignment Calc'!$L$5:$L$132*'Assignment Calc'!$M$5:$M$132))</f>
        <v>0</v>
      </c>
      <c r="CM9" s="26" t="n">
        <f aca="false">IF(WEEKDAY(CM$3,2)&gt;5,0,SUMPRODUCT(('Assignment Calc'!$D$5:$D$132=$A9)*('Assignment Calc'!$H$5:$H$132&lt;&gt;"")*('Assignment Calc'!$H$5:$H$132&lt;=CM$3)*('Assignment Calc'!$I$5:$I$132&gt;=CM$3)*'Assignment Calc'!$K$5:$K$132*'Assignment Calc'!$L$5:$L$132*'Assignment Calc'!$M$5:$M$132))</f>
        <v>0</v>
      </c>
      <c r="CN9" s="26" t="n">
        <f aca="false">IF(WEEKDAY(CN$3,2)&gt;5,0,SUMPRODUCT(('Assignment Calc'!$D$5:$D$132=$A9)*('Assignment Calc'!$H$5:$H$132&lt;&gt;"")*('Assignment Calc'!$H$5:$H$132&lt;=CN$3)*('Assignment Calc'!$I$5:$I$132&gt;=CN$3)*'Assignment Calc'!$K$5:$K$132*'Assignment Calc'!$L$5:$L$132*'Assignment Calc'!$M$5:$M$132))</f>
        <v>0</v>
      </c>
      <c r="CO9" s="26" t="n">
        <f aca="false">IF(WEEKDAY(CO$3,2)&gt;5,0,SUMPRODUCT(('Assignment Calc'!$D$5:$D$132=$A9)*('Assignment Calc'!$H$5:$H$132&lt;&gt;"")*('Assignment Calc'!$H$5:$H$132&lt;=CO$3)*('Assignment Calc'!$I$5:$I$132&gt;=CO$3)*'Assignment Calc'!$K$5:$K$132*'Assignment Calc'!$L$5:$L$132*'Assignment Calc'!$M$5:$M$132))</f>
        <v>0</v>
      </c>
      <c r="CP9" s="26" t="n">
        <f aca="false">IF(WEEKDAY(CP$3,2)&gt;5,0,SUMPRODUCT(('Assignment Calc'!$D$5:$D$132=$A9)*('Assignment Calc'!$H$5:$H$132&lt;&gt;"")*('Assignment Calc'!$H$5:$H$132&lt;=CP$3)*('Assignment Calc'!$I$5:$I$132&gt;=CP$3)*'Assignment Calc'!$K$5:$K$132*'Assignment Calc'!$L$5:$L$132*'Assignment Calc'!$M$5:$M$132))</f>
        <v>0</v>
      </c>
    </row>
    <row r="10" customFormat="false" ht="15" hidden="false" customHeight="true" outlineLevel="0" collapsed="false">
      <c r="A10" s="2" t="s">
        <v>367</v>
      </c>
      <c r="B10" s="23" t="n">
        <f aca="false">SUM(C10:CP10)</f>
        <v>68.25</v>
      </c>
      <c r="C10" s="26" t="n">
        <f aca="false">IF(WEEKDAY(C$3,2)&gt;5,0,SUMPRODUCT(('Assignment Calc'!$D$5:$D$132=$A10)*('Assignment Calc'!$H$5:$H$132&lt;&gt;"")*('Assignment Calc'!$H$5:$H$132&lt;=C$3)*('Assignment Calc'!$I$5:$I$132&gt;=C$3)*'Assignment Calc'!$K$5:$K$132*'Assignment Calc'!$L$5:$L$132*'Assignment Calc'!$M$5:$M$132))</f>
        <v>0</v>
      </c>
      <c r="D10" s="26" t="n">
        <f aca="false">IF(WEEKDAY(D$3,2)&gt;5,0,SUMPRODUCT(('Assignment Calc'!$D$5:$D$132=$A10)*('Assignment Calc'!$H$5:$H$132&lt;&gt;"")*('Assignment Calc'!$H$5:$H$132&lt;=D$3)*('Assignment Calc'!$I$5:$I$132&gt;=D$3)*'Assignment Calc'!$K$5:$K$132*'Assignment Calc'!$L$5:$L$132*'Assignment Calc'!$M$5:$M$132))</f>
        <v>0</v>
      </c>
      <c r="E10" s="26" t="n">
        <f aca="false">IF(WEEKDAY(E$3,2)&gt;5,0,SUMPRODUCT(('Assignment Calc'!$D$5:$D$132=$A10)*('Assignment Calc'!$H$5:$H$132&lt;&gt;"")*('Assignment Calc'!$H$5:$H$132&lt;=E$3)*('Assignment Calc'!$I$5:$I$132&gt;=E$3)*'Assignment Calc'!$K$5:$K$132*'Assignment Calc'!$L$5:$L$132*'Assignment Calc'!$M$5:$M$132))</f>
        <v>0</v>
      </c>
      <c r="F10" s="26" t="n">
        <f aca="false">IF(WEEKDAY(F$3,2)&gt;5,0,SUMPRODUCT(('Assignment Calc'!$D$5:$D$132=$A10)*('Assignment Calc'!$H$5:$H$132&lt;&gt;"")*('Assignment Calc'!$H$5:$H$132&lt;=F$3)*('Assignment Calc'!$I$5:$I$132&gt;=F$3)*'Assignment Calc'!$K$5:$K$132*'Assignment Calc'!$L$5:$L$132*'Assignment Calc'!$M$5:$M$132))</f>
        <v>0</v>
      </c>
      <c r="G10" s="26" t="n">
        <f aca="false">IF(WEEKDAY(G$3,2)&gt;5,0,SUMPRODUCT(('Assignment Calc'!$D$5:$D$132=$A10)*('Assignment Calc'!$H$5:$H$132&lt;&gt;"")*('Assignment Calc'!$H$5:$H$132&lt;=G$3)*('Assignment Calc'!$I$5:$I$132&gt;=G$3)*'Assignment Calc'!$K$5:$K$132*'Assignment Calc'!$L$5:$L$132*'Assignment Calc'!$M$5:$M$132))</f>
        <v>0</v>
      </c>
      <c r="H10" s="26" t="n">
        <f aca="false">IF(WEEKDAY(H$3,2)&gt;5,0,SUMPRODUCT(('Assignment Calc'!$D$5:$D$132=$A10)*('Assignment Calc'!$H$5:$H$132&lt;&gt;"")*('Assignment Calc'!$H$5:$H$132&lt;=H$3)*('Assignment Calc'!$I$5:$I$132&gt;=H$3)*'Assignment Calc'!$K$5:$K$132*'Assignment Calc'!$L$5:$L$132*'Assignment Calc'!$M$5:$M$132))</f>
        <v>0</v>
      </c>
      <c r="I10" s="26" t="n">
        <f aca="false">IF(WEEKDAY(I$3,2)&gt;5,0,SUMPRODUCT(('Assignment Calc'!$D$5:$D$132=$A10)*('Assignment Calc'!$H$5:$H$132&lt;&gt;"")*('Assignment Calc'!$H$5:$H$132&lt;=I$3)*('Assignment Calc'!$I$5:$I$132&gt;=I$3)*'Assignment Calc'!$K$5:$K$132*'Assignment Calc'!$L$5:$L$132*'Assignment Calc'!$M$5:$M$132))</f>
        <v>0</v>
      </c>
      <c r="J10" s="26" t="n">
        <f aca="false">IF(WEEKDAY(J$3,2)&gt;5,0,SUMPRODUCT(('Assignment Calc'!$D$5:$D$132=$A10)*('Assignment Calc'!$H$5:$H$132&lt;&gt;"")*('Assignment Calc'!$H$5:$H$132&lt;=J$3)*('Assignment Calc'!$I$5:$I$132&gt;=J$3)*'Assignment Calc'!$K$5:$K$132*'Assignment Calc'!$L$5:$L$132*'Assignment Calc'!$M$5:$M$132))</f>
        <v>0</v>
      </c>
      <c r="K10" s="26" t="n">
        <f aca="false">IF(WEEKDAY(K$3,2)&gt;5,0,SUMPRODUCT(('Assignment Calc'!$D$5:$D$132=$A10)*('Assignment Calc'!$H$5:$H$132&lt;&gt;"")*('Assignment Calc'!$H$5:$H$132&lt;=K$3)*('Assignment Calc'!$I$5:$I$132&gt;=K$3)*'Assignment Calc'!$K$5:$K$132*'Assignment Calc'!$L$5:$L$132*'Assignment Calc'!$M$5:$M$132))</f>
        <v>0</v>
      </c>
      <c r="L10" s="26" t="n">
        <f aca="false">IF(WEEKDAY(L$3,2)&gt;5,0,SUMPRODUCT(('Assignment Calc'!$D$5:$D$132=$A10)*('Assignment Calc'!$H$5:$H$132&lt;&gt;"")*('Assignment Calc'!$H$5:$H$132&lt;=L$3)*('Assignment Calc'!$I$5:$I$132&gt;=L$3)*'Assignment Calc'!$K$5:$K$132*'Assignment Calc'!$L$5:$L$132*'Assignment Calc'!$M$5:$M$132))</f>
        <v>0</v>
      </c>
      <c r="M10" s="26" t="n">
        <f aca="false">IF(WEEKDAY(M$3,2)&gt;5,0,SUMPRODUCT(('Assignment Calc'!$D$5:$D$132=$A10)*('Assignment Calc'!$H$5:$H$132&lt;&gt;"")*('Assignment Calc'!$H$5:$H$132&lt;=M$3)*('Assignment Calc'!$I$5:$I$132&gt;=M$3)*'Assignment Calc'!$K$5:$K$132*'Assignment Calc'!$L$5:$L$132*'Assignment Calc'!$M$5:$M$132))</f>
        <v>0</v>
      </c>
      <c r="N10" s="26" t="n">
        <f aca="false">IF(WEEKDAY(N$3,2)&gt;5,0,SUMPRODUCT(('Assignment Calc'!$D$5:$D$132=$A10)*('Assignment Calc'!$H$5:$H$132&lt;&gt;"")*('Assignment Calc'!$H$5:$H$132&lt;=N$3)*('Assignment Calc'!$I$5:$I$132&gt;=N$3)*'Assignment Calc'!$K$5:$K$132*'Assignment Calc'!$L$5:$L$132*'Assignment Calc'!$M$5:$M$132))</f>
        <v>0</v>
      </c>
      <c r="O10" s="26" t="n">
        <f aca="false">IF(WEEKDAY(O$3,2)&gt;5,0,SUMPRODUCT(('Assignment Calc'!$D$5:$D$132=$A10)*('Assignment Calc'!$H$5:$H$132&lt;&gt;"")*('Assignment Calc'!$H$5:$H$132&lt;=O$3)*('Assignment Calc'!$I$5:$I$132&gt;=O$3)*'Assignment Calc'!$K$5:$K$132*'Assignment Calc'!$L$5:$L$132*'Assignment Calc'!$M$5:$M$132))</f>
        <v>0</v>
      </c>
      <c r="P10" s="26" t="n">
        <f aca="false">IF(WEEKDAY(P$3,2)&gt;5,0,SUMPRODUCT(('Assignment Calc'!$D$5:$D$132=$A10)*('Assignment Calc'!$H$5:$H$132&lt;&gt;"")*('Assignment Calc'!$H$5:$H$132&lt;=P$3)*('Assignment Calc'!$I$5:$I$132&gt;=P$3)*'Assignment Calc'!$K$5:$K$132*'Assignment Calc'!$L$5:$L$132*'Assignment Calc'!$M$5:$M$132))</f>
        <v>0</v>
      </c>
      <c r="Q10" s="26" t="n">
        <f aca="false">IF(WEEKDAY(Q$3,2)&gt;5,0,SUMPRODUCT(('Assignment Calc'!$D$5:$D$132=$A10)*('Assignment Calc'!$H$5:$H$132&lt;&gt;"")*('Assignment Calc'!$H$5:$H$132&lt;=Q$3)*('Assignment Calc'!$I$5:$I$132&gt;=Q$3)*'Assignment Calc'!$K$5:$K$132*'Assignment Calc'!$L$5:$L$132*'Assignment Calc'!$M$5:$M$132))</f>
        <v>0</v>
      </c>
      <c r="R10" s="26" t="n">
        <f aca="false">IF(WEEKDAY(R$3,2)&gt;5,0,SUMPRODUCT(('Assignment Calc'!$D$5:$D$132=$A10)*('Assignment Calc'!$H$5:$H$132&lt;&gt;"")*('Assignment Calc'!$H$5:$H$132&lt;=R$3)*('Assignment Calc'!$I$5:$I$132&gt;=R$3)*'Assignment Calc'!$K$5:$K$132*'Assignment Calc'!$L$5:$L$132*'Assignment Calc'!$M$5:$M$132))</f>
        <v>0</v>
      </c>
      <c r="S10" s="26" t="n">
        <f aca="false">IF(WEEKDAY(S$3,2)&gt;5,0,SUMPRODUCT(('Assignment Calc'!$D$5:$D$132=$A10)*('Assignment Calc'!$H$5:$H$132&lt;&gt;"")*('Assignment Calc'!$H$5:$H$132&lt;=S$3)*('Assignment Calc'!$I$5:$I$132&gt;=S$3)*'Assignment Calc'!$K$5:$K$132*'Assignment Calc'!$L$5:$L$132*'Assignment Calc'!$M$5:$M$132))</f>
        <v>0</v>
      </c>
      <c r="T10" s="26" t="n">
        <f aca="false">IF(WEEKDAY(T$3,2)&gt;5,0,SUMPRODUCT(('Assignment Calc'!$D$5:$D$132=$A10)*('Assignment Calc'!$H$5:$H$132&lt;&gt;"")*('Assignment Calc'!$H$5:$H$132&lt;=T$3)*('Assignment Calc'!$I$5:$I$132&gt;=T$3)*'Assignment Calc'!$K$5:$K$132*'Assignment Calc'!$L$5:$L$132*'Assignment Calc'!$M$5:$M$132))</f>
        <v>0</v>
      </c>
      <c r="U10" s="26" t="n">
        <f aca="false">IF(WEEKDAY(U$3,2)&gt;5,0,SUMPRODUCT(('Assignment Calc'!$D$5:$D$132=$A10)*('Assignment Calc'!$H$5:$H$132&lt;&gt;"")*('Assignment Calc'!$H$5:$H$132&lt;=U$3)*('Assignment Calc'!$I$5:$I$132&gt;=U$3)*'Assignment Calc'!$K$5:$K$132*'Assignment Calc'!$L$5:$L$132*'Assignment Calc'!$M$5:$M$132))</f>
        <v>0</v>
      </c>
      <c r="V10" s="26" t="n">
        <f aca="false">IF(WEEKDAY(V$3,2)&gt;5,0,SUMPRODUCT(('Assignment Calc'!$D$5:$D$132=$A10)*('Assignment Calc'!$H$5:$H$132&lt;&gt;"")*('Assignment Calc'!$H$5:$H$132&lt;=V$3)*('Assignment Calc'!$I$5:$I$132&gt;=V$3)*'Assignment Calc'!$K$5:$K$132*'Assignment Calc'!$L$5:$L$132*'Assignment Calc'!$M$5:$M$132))</f>
        <v>0</v>
      </c>
      <c r="W10" s="26" t="n">
        <f aca="false">IF(WEEKDAY(W$3,2)&gt;5,0,SUMPRODUCT(('Assignment Calc'!$D$5:$D$132=$A10)*('Assignment Calc'!$H$5:$H$132&lt;&gt;"")*('Assignment Calc'!$H$5:$H$132&lt;=W$3)*('Assignment Calc'!$I$5:$I$132&gt;=W$3)*'Assignment Calc'!$K$5:$K$132*'Assignment Calc'!$L$5:$L$132*'Assignment Calc'!$M$5:$M$132))</f>
        <v>0</v>
      </c>
      <c r="X10" s="26" t="n">
        <f aca="false">IF(WEEKDAY(X$3,2)&gt;5,0,SUMPRODUCT(('Assignment Calc'!$D$5:$D$132=$A10)*('Assignment Calc'!$H$5:$H$132&lt;&gt;"")*('Assignment Calc'!$H$5:$H$132&lt;=X$3)*('Assignment Calc'!$I$5:$I$132&gt;=X$3)*'Assignment Calc'!$K$5:$K$132*'Assignment Calc'!$L$5:$L$132*'Assignment Calc'!$M$5:$M$132))</f>
        <v>0</v>
      </c>
      <c r="Y10" s="26" t="n">
        <f aca="false">IF(WEEKDAY(Y$3,2)&gt;5,0,SUMPRODUCT(('Assignment Calc'!$D$5:$D$132=$A10)*('Assignment Calc'!$H$5:$H$132&lt;&gt;"")*('Assignment Calc'!$H$5:$H$132&lt;=Y$3)*('Assignment Calc'!$I$5:$I$132&gt;=Y$3)*'Assignment Calc'!$K$5:$K$132*'Assignment Calc'!$L$5:$L$132*'Assignment Calc'!$M$5:$M$132))</f>
        <v>0</v>
      </c>
      <c r="Z10" s="26" t="n">
        <f aca="false">IF(WEEKDAY(Z$3,2)&gt;5,0,SUMPRODUCT(('Assignment Calc'!$D$5:$D$132=$A10)*('Assignment Calc'!$H$5:$H$132&lt;&gt;"")*('Assignment Calc'!$H$5:$H$132&lt;=Z$3)*('Assignment Calc'!$I$5:$I$132&gt;=Z$3)*'Assignment Calc'!$K$5:$K$132*'Assignment Calc'!$L$5:$L$132*'Assignment Calc'!$M$5:$M$132))</f>
        <v>0</v>
      </c>
      <c r="AA10" s="26" t="n">
        <f aca="false">IF(WEEKDAY(AA$3,2)&gt;5,0,SUMPRODUCT(('Assignment Calc'!$D$5:$D$132=$A10)*('Assignment Calc'!$H$5:$H$132&lt;&gt;"")*('Assignment Calc'!$H$5:$H$132&lt;=AA$3)*('Assignment Calc'!$I$5:$I$132&gt;=AA$3)*'Assignment Calc'!$K$5:$K$132*'Assignment Calc'!$L$5:$L$132*'Assignment Calc'!$M$5:$M$132))</f>
        <v>0</v>
      </c>
      <c r="AB10" s="26" t="n">
        <f aca="false">IF(WEEKDAY(AB$3,2)&gt;5,0,SUMPRODUCT(('Assignment Calc'!$D$5:$D$132=$A10)*('Assignment Calc'!$H$5:$H$132&lt;&gt;"")*('Assignment Calc'!$H$5:$H$132&lt;=AB$3)*('Assignment Calc'!$I$5:$I$132&gt;=AB$3)*'Assignment Calc'!$K$5:$K$132*'Assignment Calc'!$L$5:$L$132*'Assignment Calc'!$M$5:$M$132))</f>
        <v>0</v>
      </c>
      <c r="AC10" s="26" t="n">
        <f aca="false">IF(WEEKDAY(AC$3,2)&gt;5,0,SUMPRODUCT(('Assignment Calc'!$D$5:$D$132=$A10)*('Assignment Calc'!$H$5:$H$132&lt;&gt;"")*('Assignment Calc'!$H$5:$H$132&lt;=AC$3)*('Assignment Calc'!$I$5:$I$132&gt;=AC$3)*'Assignment Calc'!$K$5:$K$132*'Assignment Calc'!$L$5:$L$132*'Assignment Calc'!$M$5:$M$132))</f>
        <v>0</v>
      </c>
      <c r="AD10" s="26" t="n">
        <f aca="false">IF(WEEKDAY(AD$3,2)&gt;5,0,SUMPRODUCT(('Assignment Calc'!$D$5:$D$132=$A10)*('Assignment Calc'!$H$5:$H$132&lt;&gt;"")*('Assignment Calc'!$H$5:$H$132&lt;=AD$3)*('Assignment Calc'!$I$5:$I$132&gt;=AD$3)*'Assignment Calc'!$K$5:$K$132*'Assignment Calc'!$L$5:$L$132*'Assignment Calc'!$M$5:$M$132))</f>
        <v>0</v>
      </c>
      <c r="AE10" s="26" t="n">
        <f aca="false">IF(WEEKDAY(AE$3,2)&gt;5,0,SUMPRODUCT(('Assignment Calc'!$D$5:$D$132=$A10)*('Assignment Calc'!$H$5:$H$132&lt;&gt;"")*('Assignment Calc'!$H$5:$H$132&lt;=AE$3)*('Assignment Calc'!$I$5:$I$132&gt;=AE$3)*'Assignment Calc'!$K$5:$K$132*'Assignment Calc'!$L$5:$L$132*'Assignment Calc'!$M$5:$M$132))</f>
        <v>0</v>
      </c>
      <c r="AF10" s="26" t="n">
        <f aca="false">IF(WEEKDAY(AF$3,2)&gt;5,0,SUMPRODUCT(('Assignment Calc'!$D$5:$D$132=$A10)*('Assignment Calc'!$H$5:$H$132&lt;&gt;"")*('Assignment Calc'!$H$5:$H$132&lt;=AF$3)*('Assignment Calc'!$I$5:$I$132&gt;=AF$3)*'Assignment Calc'!$K$5:$K$132*'Assignment Calc'!$L$5:$L$132*'Assignment Calc'!$M$5:$M$132))</f>
        <v>0</v>
      </c>
      <c r="AG10" s="26" t="n">
        <f aca="false">IF(WEEKDAY(AG$3,2)&gt;5,0,SUMPRODUCT(('Assignment Calc'!$D$5:$D$132=$A10)*('Assignment Calc'!$H$5:$H$132&lt;&gt;"")*('Assignment Calc'!$H$5:$H$132&lt;=AG$3)*('Assignment Calc'!$I$5:$I$132&gt;=AG$3)*'Assignment Calc'!$K$5:$K$132*'Assignment Calc'!$L$5:$L$132*'Assignment Calc'!$M$5:$M$132))</f>
        <v>0</v>
      </c>
      <c r="AH10" s="26" t="n">
        <f aca="false">IF(WEEKDAY(AH$3,2)&gt;5,0,SUMPRODUCT(('Assignment Calc'!$D$5:$D$132=$A10)*('Assignment Calc'!$H$5:$H$132&lt;&gt;"")*('Assignment Calc'!$H$5:$H$132&lt;=AH$3)*('Assignment Calc'!$I$5:$I$132&gt;=AH$3)*'Assignment Calc'!$K$5:$K$132*'Assignment Calc'!$L$5:$L$132*'Assignment Calc'!$M$5:$M$132))</f>
        <v>0</v>
      </c>
      <c r="AI10" s="26" t="n">
        <f aca="false">IF(WEEKDAY(AI$3,2)&gt;5,0,SUMPRODUCT(('Assignment Calc'!$D$5:$D$132=$A10)*('Assignment Calc'!$H$5:$H$132&lt;&gt;"")*('Assignment Calc'!$H$5:$H$132&lt;=AI$3)*('Assignment Calc'!$I$5:$I$132&gt;=AI$3)*'Assignment Calc'!$K$5:$K$132*'Assignment Calc'!$L$5:$L$132*'Assignment Calc'!$M$5:$M$132))</f>
        <v>0</v>
      </c>
      <c r="AJ10" s="26" t="n">
        <f aca="false">IF(WEEKDAY(AJ$3,2)&gt;5,0,SUMPRODUCT(('Assignment Calc'!$D$5:$D$132=$A10)*('Assignment Calc'!$H$5:$H$132&lt;&gt;"")*('Assignment Calc'!$H$5:$H$132&lt;=AJ$3)*('Assignment Calc'!$I$5:$I$132&gt;=AJ$3)*'Assignment Calc'!$K$5:$K$132*'Assignment Calc'!$L$5:$L$132*'Assignment Calc'!$M$5:$M$132))</f>
        <v>0</v>
      </c>
      <c r="AK10" s="26" t="n">
        <f aca="false">IF(WEEKDAY(AK$3,2)&gt;5,0,SUMPRODUCT(('Assignment Calc'!$D$5:$D$132=$A10)*('Assignment Calc'!$H$5:$H$132&lt;&gt;"")*('Assignment Calc'!$H$5:$H$132&lt;=AK$3)*('Assignment Calc'!$I$5:$I$132&gt;=AK$3)*'Assignment Calc'!$K$5:$K$132*'Assignment Calc'!$L$5:$L$132*'Assignment Calc'!$M$5:$M$132))</f>
        <v>0</v>
      </c>
      <c r="AL10" s="26" t="n">
        <f aca="false">IF(WEEKDAY(AL$3,2)&gt;5,0,SUMPRODUCT(('Assignment Calc'!$D$5:$D$132=$A10)*('Assignment Calc'!$H$5:$H$132&lt;&gt;"")*('Assignment Calc'!$H$5:$H$132&lt;=AL$3)*('Assignment Calc'!$I$5:$I$132&gt;=AL$3)*'Assignment Calc'!$K$5:$K$132*'Assignment Calc'!$L$5:$L$132*'Assignment Calc'!$M$5:$M$132))</f>
        <v>0</v>
      </c>
      <c r="AM10" s="26" t="n">
        <f aca="false">IF(WEEKDAY(AM$3,2)&gt;5,0,SUMPRODUCT(('Assignment Calc'!$D$5:$D$132=$A10)*('Assignment Calc'!$H$5:$H$132&lt;&gt;"")*('Assignment Calc'!$H$5:$H$132&lt;=AM$3)*('Assignment Calc'!$I$5:$I$132&gt;=AM$3)*'Assignment Calc'!$K$5:$K$132*'Assignment Calc'!$L$5:$L$132*'Assignment Calc'!$M$5:$M$132))</f>
        <v>0</v>
      </c>
      <c r="AN10" s="26" t="n">
        <f aca="false">IF(WEEKDAY(AN$3,2)&gt;5,0,SUMPRODUCT(('Assignment Calc'!$D$5:$D$132=$A10)*('Assignment Calc'!$H$5:$H$132&lt;&gt;"")*('Assignment Calc'!$H$5:$H$132&lt;=AN$3)*('Assignment Calc'!$I$5:$I$132&gt;=AN$3)*'Assignment Calc'!$K$5:$K$132*'Assignment Calc'!$L$5:$L$132*'Assignment Calc'!$M$5:$M$132))</f>
        <v>0</v>
      </c>
      <c r="AO10" s="26" t="n">
        <f aca="false">IF(WEEKDAY(AO$3,2)&gt;5,0,SUMPRODUCT(('Assignment Calc'!$D$5:$D$132=$A10)*('Assignment Calc'!$H$5:$H$132&lt;&gt;"")*('Assignment Calc'!$H$5:$H$132&lt;=AO$3)*('Assignment Calc'!$I$5:$I$132&gt;=AO$3)*'Assignment Calc'!$K$5:$K$132*'Assignment Calc'!$L$5:$L$132*'Assignment Calc'!$M$5:$M$132))</f>
        <v>0</v>
      </c>
      <c r="AP10" s="26" t="n">
        <f aca="false">IF(WEEKDAY(AP$3,2)&gt;5,0,SUMPRODUCT(('Assignment Calc'!$D$5:$D$132=$A10)*('Assignment Calc'!$H$5:$H$132&lt;&gt;"")*('Assignment Calc'!$H$5:$H$132&lt;=AP$3)*('Assignment Calc'!$I$5:$I$132&gt;=AP$3)*'Assignment Calc'!$K$5:$K$132*'Assignment Calc'!$L$5:$L$132*'Assignment Calc'!$M$5:$M$132))</f>
        <v>0</v>
      </c>
      <c r="AQ10" s="26" t="n">
        <f aca="false">IF(WEEKDAY(AQ$3,2)&gt;5,0,SUMPRODUCT(('Assignment Calc'!$D$5:$D$132=$A10)*('Assignment Calc'!$H$5:$H$132&lt;&gt;"")*('Assignment Calc'!$H$5:$H$132&lt;=AQ$3)*('Assignment Calc'!$I$5:$I$132&gt;=AQ$3)*'Assignment Calc'!$K$5:$K$132*'Assignment Calc'!$L$5:$L$132*'Assignment Calc'!$M$5:$M$132))</f>
        <v>0</v>
      </c>
      <c r="AR10" s="26" t="n">
        <f aca="false">IF(WEEKDAY(AR$3,2)&gt;5,0,SUMPRODUCT(('Assignment Calc'!$D$5:$D$132=$A10)*('Assignment Calc'!$H$5:$H$132&lt;&gt;"")*('Assignment Calc'!$H$5:$H$132&lt;=AR$3)*('Assignment Calc'!$I$5:$I$132&gt;=AR$3)*'Assignment Calc'!$K$5:$K$132*'Assignment Calc'!$L$5:$L$132*'Assignment Calc'!$M$5:$M$132))</f>
        <v>0</v>
      </c>
      <c r="AS10" s="26" t="n">
        <f aca="false">IF(WEEKDAY(AS$3,2)&gt;5,0,SUMPRODUCT(('Assignment Calc'!$D$5:$D$132=$A10)*('Assignment Calc'!$H$5:$H$132&lt;&gt;"")*('Assignment Calc'!$H$5:$H$132&lt;=AS$3)*('Assignment Calc'!$I$5:$I$132&gt;=AS$3)*'Assignment Calc'!$K$5:$K$132*'Assignment Calc'!$L$5:$L$132*'Assignment Calc'!$M$5:$M$132))</f>
        <v>0</v>
      </c>
      <c r="AT10" s="26" t="n">
        <f aca="false">IF(WEEKDAY(AT$3,2)&gt;5,0,SUMPRODUCT(('Assignment Calc'!$D$5:$D$132=$A10)*('Assignment Calc'!$H$5:$H$132&lt;&gt;"")*('Assignment Calc'!$H$5:$H$132&lt;=AT$3)*('Assignment Calc'!$I$5:$I$132&gt;=AT$3)*'Assignment Calc'!$K$5:$K$132*'Assignment Calc'!$L$5:$L$132*'Assignment Calc'!$M$5:$M$132))</f>
        <v>0</v>
      </c>
      <c r="AU10" s="26" t="n">
        <f aca="false">IF(WEEKDAY(AU$3,2)&gt;5,0,SUMPRODUCT(('Assignment Calc'!$D$5:$D$132=$A10)*('Assignment Calc'!$H$5:$H$132&lt;&gt;"")*('Assignment Calc'!$H$5:$H$132&lt;=AU$3)*('Assignment Calc'!$I$5:$I$132&gt;=AU$3)*'Assignment Calc'!$K$5:$K$132*'Assignment Calc'!$L$5:$L$132*'Assignment Calc'!$M$5:$M$132))</f>
        <v>0</v>
      </c>
      <c r="AV10" s="26" t="n">
        <f aca="false">IF(WEEKDAY(AV$3,2)&gt;5,0,SUMPRODUCT(('Assignment Calc'!$D$5:$D$132=$A10)*('Assignment Calc'!$H$5:$H$132&lt;&gt;"")*('Assignment Calc'!$H$5:$H$132&lt;=AV$3)*('Assignment Calc'!$I$5:$I$132&gt;=AV$3)*'Assignment Calc'!$K$5:$K$132*'Assignment Calc'!$L$5:$L$132*'Assignment Calc'!$M$5:$M$132))</f>
        <v>0</v>
      </c>
      <c r="AW10" s="26" t="n">
        <f aca="false">IF(WEEKDAY(AW$3,2)&gt;5,0,SUMPRODUCT(('Assignment Calc'!$D$5:$D$132=$A10)*('Assignment Calc'!$H$5:$H$132&lt;&gt;"")*('Assignment Calc'!$H$5:$H$132&lt;=AW$3)*('Assignment Calc'!$I$5:$I$132&gt;=AW$3)*'Assignment Calc'!$K$5:$K$132*'Assignment Calc'!$L$5:$L$132*'Assignment Calc'!$M$5:$M$132))</f>
        <v>9</v>
      </c>
      <c r="AX10" s="26" t="n">
        <f aca="false">IF(WEEKDAY(AX$3,2)&gt;5,0,SUMPRODUCT(('Assignment Calc'!$D$5:$D$132=$A10)*('Assignment Calc'!$H$5:$H$132&lt;&gt;"")*('Assignment Calc'!$H$5:$H$132&lt;=AX$3)*('Assignment Calc'!$I$5:$I$132&gt;=AX$3)*'Assignment Calc'!$K$5:$K$132*'Assignment Calc'!$L$5:$L$132*'Assignment Calc'!$M$5:$M$132))</f>
        <v>9</v>
      </c>
      <c r="AY10" s="26" t="n">
        <f aca="false">IF(WEEKDAY(AY$3,2)&gt;5,0,SUMPRODUCT(('Assignment Calc'!$D$5:$D$132=$A10)*('Assignment Calc'!$H$5:$H$132&lt;&gt;"")*('Assignment Calc'!$H$5:$H$132&lt;=AY$3)*('Assignment Calc'!$I$5:$I$132&gt;=AY$3)*'Assignment Calc'!$K$5:$K$132*'Assignment Calc'!$L$5:$L$132*'Assignment Calc'!$M$5:$M$132))</f>
        <v>9</v>
      </c>
      <c r="AZ10" s="26" t="n">
        <f aca="false">IF(WEEKDAY(AZ$3,2)&gt;5,0,SUMPRODUCT(('Assignment Calc'!$D$5:$D$132=$A10)*('Assignment Calc'!$H$5:$H$132&lt;&gt;"")*('Assignment Calc'!$H$5:$H$132&lt;=AZ$3)*('Assignment Calc'!$I$5:$I$132&gt;=AZ$3)*'Assignment Calc'!$K$5:$K$132*'Assignment Calc'!$L$5:$L$132*'Assignment Calc'!$M$5:$M$132))</f>
        <v>9</v>
      </c>
      <c r="BA10" s="26" t="n">
        <f aca="false">IF(WEEKDAY(BA$3,2)&gt;5,0,SUMPRODUCT(('Assignment Calc'!$D$5:$D$132=$A10)*('Assignment Calc'!$H$5:$H$132&lt;&gt;"")*('Assignment Calc'!$H$5:$H$132&lt;=BA$3)*('Assignment Calc'!$I$5:$I$132&gt;=BA$3)*'Assignment Calc'!$K$5:$K$132*'Assignment Calc'!$L$5:$L$132*'Assignment Calc'!$M$5:$M$132))</f>
        <v>9</v>
      </c>
      <c r="BB10" s="26" t="n">
        <f aca="false">IF(WEEKDAY(BB$3,2)&gt;5,0,SUMPRODUCT(('Assignment Calc'!$D$5:$D$132=$A10)*('Assignment Calc'!$H$5:$H$132&lt;&gt;"")*('Assignment Calc'!$H$5:$H$132&lt;=BB$3)*('Assignment Calc'!$I$5:$I$132&gt;=BB$3)*'Assignment Calc'!$K$5:$K$132*'Assignment Calc'!$L$5:$L$132*'Assignment Calc'!$M$5:$M$132))</f>
        <v>0</v>
      </c>
      <c r="BC10" s="26" t="n">
        <f aca="false">IF(WEEKDAY(BC$3,2)&gt;5,0,SUMPRODUCT(('Assignment Calc'!$D$5:$D$132=$A10)*('Assignment Calc'!$H$5:$H$132&lt;&gt;"")*('Assignment Calc'!$H$5:$H$132&lt;=BC$3)*('Assignment Calc'!$I$5:$I$132&gt;=BC$3)*'Assignment Calc'!$K$5:$K$132*'Assignment Calc'!$L$5:$L$132*'Assignment Calc'!$M$5:$M$132))</f>
        <v>0</v>
      </c>
      <c r="BD10" s="26" t="n">
        <f aca="false">IF(WEEKDAY(BD$3,2)&gt;5,0,SUMPRODUCT(('Assignment Calc'!$D$5:$D$132=$A10)*('Assignment Calc'!$H$5:$H$132&lt;&gt;"")*('Assignment Calc'!$H$5:$H$132&lt;=BD$3)*('Assignment Calc'!$I$5:$I$132&gt;=BD$3)*'Assignment Calc'!$K$5:$K$132*'Assignment Calc'!$L$5:$L$132*'Assignment Calc'!$M$5:$M$132))</f>
        <v>2.25</v>
      </c>
      <c r="BE10" s="26" t="n">
        <f aca="false">IF(WEEKDAY(BE$3,2)&gt;5,0,SUMPRODUCT(('Assignment Calc'!$D$5:$D$132=$A10)*('Assignment Calc'!$H$5:$H$132&lt;&gt;"")*('Assignment Calc'!$H$5:$H$132&lt;=BE$3)*('Assignment Calc'!$I$5:$I$132&gt;=BE$3)*'Assignment Calc'!$K$5:$K$132*'Assignment Calc'!$L$5:$L$132*'Assignment Calc'!$M$5:$M$132))</f>
        <v>2.25</v>
      </c>
      <c r="BF10" s="26" t="n">
        <f aca="false">IF(WEEKDAY(BF$3,2)&gt;5,0,SUMPRODUCT(('Assignment Calc'!$D$5:$D$132=$A10)*('Assignment Calc'!$H$5:$H$132&lt;&gt;"")*('Assignment Calc'!$H$5:$H$132&lt;=BF$3)*('Assignment Calc'!$I$5:$I$132&gt;=BF$3)*'Assignment Calc'!$K$5:$K$132*'Assignment Calc'!$L$5:$L$132*'Assignment Calc'!$M$5:$M$132))</f>
        <v>2.25</v>
      </c>
      <c r="BG10" s="26" t="n">
        <f aca="false">IF(WEEKDAY(BG$3,2)&gt;5,0,SUMPRODUCT(('Assignment Calc'!$D$5:$D$132=$A10)*('Assignment Calc'!$H$5:$H$132&lt;&gt;"")*('Assignment Calc'!$H$5:$H$132&lt;=BG$3)*('Assignment Calc'!$I$5:$I$132&gt;=BG$3)*'Assignment Calc'!$K$5:$K$132*'Assignment Calc'!$L$5:$L$132*'Assignment Calc'!$M$5:$M$132))</f>
        <v>2.25</v>
      </c>
      <c r="BH10" s="26" t="n">
        <f aca="false">IF(WEEKDAY(BH$3,2)&gt;5,0,SUMPRODUCT(('Assignment Calc'!$D$5:$D$132=$A10)*('Assignment Calc'!$H$5:$H$132&lt;&gt;"")*('Assignment Calc'!$H$5:$H$132&lt;=BH$3)*('Assignment Calc'!$I$5:$I$132&gt;=BH$3)*'Assignment Calc'!$K$5:$K$132*'Assignment Calc'!$L$5:$L$132*'Assignment Calc'!$M$5:$M$132))</f>
        <v>2.25</v>
      </c>
      <c r="BI10" s="26" t="n">
        <f aca="false">IF(WEEKDAY(BI$3,2)&gt;5,0,SUMPRODUCT(('Assignment Calc'!$D$5:$D$132=$A10)*('Assignment Calc'!$H$5:$H$132&lt;&gt;"")*('Assignment Calc'!$H$5:$H$132&lt;=BI$3)*('Assignment Calc'!$I$5:$I$132&gt;=BI$3)*'Assignment Calc'!$K$5:$K$132*'Assignment Calc'!$L$5:$L$132*'Assignment Calc'!$M$5:$M$132))</f>
        <v>0</v>
      </c>
      <c r="BJ10" s="26" t="n">
        <f aca="false">IF(WEEKDAY(BJ$3,2)&gt;5,0,SUMPRODUCT(('Assignment Calc'!$D$5:$D$132=$A10)*('Assignment Calc'!$H$5:$H$132&lt;&gt;"")*('Assignment Calc'!$H$5:$H$132&lt;=BJ$3)*('Assignment Calc'!$I$5:$I$132&gt;=BJ$3)*'Assignment Calc'!$K$5:$K$132*'Assignment Calc'!$L$5:$L$132*'Assignment Calc'!$M$5:$M$132))</f>
        <v>0</v>
      </c>
      <c r="BK10" s="26" t="n">
        <f aca="false">IF(WEEKDAY(BK$3,2)&gt;5,0,SUMPRODUCT(('Assignment Calc'!$D$5:$D$132=$A10)*('Assignment Calc'!$H$5:$H$132&lt;&gt;"")*('Assignment Calc'!$H$5:$H$132&lt;=BK$3)*('Assignment Calc'!$I$5:$I$132&gt;=BK$3)*'Assignment Calc'!$K$5:$K$132*'Assignment Calc'!$L$5:$L$132*'Assignment Calc'!$M$5:$M$132))</f>
        <v>0</v>
      </c>
      <c r="BL10" s="26" t="n">
        <f aca="false">IF(WEEKDAY(BL$3,2)&gt;5,0,SUMPRODUCT(('Assignment Calc'!$D$5:$D$132=$A10)*('Assignment Calc'!$H$5:$H$132&lt;&gt;"")*('Assignment Calc'!$H$5:$H$132&lt;=BL$3)*('Assignment Calc'!$I$5:$I$132&gt;=BL$3)*'Assignment Calc'!$K$5:$K$132*'Assignment Calc'!$L$5:$L$132*'Assignment Calc'!$M$5:$M$132))</f>
        <v>3</v>
      </c>
      <c r="BM10" s="26" t="n">
        <f aca="false">IF(WEEKDAY(BM$3,2)&gt;5,0,SUMPRODUCT(('Assignment Calc'!$D$5:$D$132=$A10)*('Assignment Calc'!$H$5:$H$132&lt;&gt;"")*('Assignment Calc'!$H$5:$H$132&lt;=BM$3)*('Assignment Calc'!$I$5:$I$132&gt;=BM$3)*'Assignment Calc'!$K$5:$K$132*'Assignment Calc'!$L$5:$L$132*'Assignment Calc'!$M$5:$M$132))</f>
        <v>3</v>
      </c>
      <c r="BN10" s="26" t="n">
        <f aca="false">IF(WEEKDAY(BN$3,2)&gt;5,0,SUMPRODUCT(('Assignment Calc'!$D$5:$D$132=$A10)*('Assignment Calc'!$H$5:$H$132&lt;&gt;"")*('Assignment Calc'!$H$5:$H$132&lt;=BN$3)*('Assignment Calc'!$I$5:$I$132&gt;=BN$3)*'Assignment Calc'!$K$5:$K$132*'Assignment Calc'!$L$5:$L$132*'Assignment Calc'!$M$5:$M$132))</f>
        <v>3</v>
      </c>
      <c r="BO10" s="26" t="n">
        <f aca="false">IF(WEEKDAY(BO$3,2)&gt;5,0,SUMPRODUCT(('Assignment Calc'!$D$5:$D$132=$A10)*('Assignment Calc'!$H$5:$H$132&lt;&gt;"")*('Assignment Calc'!$H$5:$H$132&lt;=BO$3)*('Assignment Calc'!$I$5:$I$132&gt;=BO$3)*'Assignment Calc'!$K$5:$K$132*'Assignment Calc'!$L$5:$L$132*'Assignment Calc'!$M$5:$M$132))</f>
        <v>3</v>
      </c>
      <c r="BP10" s="26" t="n">
        <f aca="false">IF(WEEKDAY(BP$3,2)&gt;5,0,SUMPRODUCT(('Assignment Calc'!$D$5:$D$132=$A10)*('Assignment Calc'!$H$5:$H$132&lt;&gt;"")*('Assignment Calc'!$H$5:$H$132&lt;=BP$3)*('Assignment Calc'!$I$5:$I$132&gt;=BP$3)*'Assignment Calc'!$K$5:$K$132*'Assignment Calc'!$L$5:$L$132*'Assignment Calc'!$M$5:$M$132))</f>
        <v>0</v>
      </c>
      <c r="BQ10" s="26" t="n">
        <f aca="false">IF(WEEKDAY(BQ$3,2)&gt;5,0,SUMPRODUCT(('Assignment Calc'!$D$5:$D$132=$A10)*('Assignment Calc'!$H$5:$H$132&lt;&gt;"")*('Assignment Calc'!$H$5:$H$132&lt;=BQ$3)*('Assignment Calc'!$I$5:$I$132&gt;=BQ$3)*'Assignment Calc'!$K$5:$K$132*'Assignment Calc'!$L$5:$L$132*'Assignment Calc'!$M$5:$M$132))</f>
        <v>0</v>
      </c>
      <c r="BR10" s="26" t="n">
        <f aca="false">IF(WEEKDAY(BR$3,2)&gt;5,0,SUMPRODUCT(('Assignment Calc'!$D$5:$D$132=$A10)*('Assignment Calc'!$H$5:$H$132&lt;&gt;"")*('Assignment Calc'!$H$5:$H$132&lt;=BR$3)*('Assignment Calc'!$I$5:$I$132&gt;=BR$3)*'Assignment Calc'!$K$5:$K$132*'Assignment Calc'!$L$5:$L$132*'Assignment Calc'!$M$5:$M$132))</f>
        <v>0</v>
      </c>
      <c r="BS10" s="26" t="n">
        <f aca="false">IF(WEEKDAY(BS$3,2)&gt;5,0,SUMPRODUCT(('Assignment Calc'!$D$5:$D$132=$A10)*('Assignment Calc'!$H$5:$H$132&lt;&gt;"")*('Assignment Calc'!$H$5:$H$132&lt;=BS$3)*('Assignment Calc'!$I$5:$I$132&gt;=BS$3)*'Assignment Calc'!$K$5:$K$132*'Assignment Calc'!$L$5:$L$132*'Assignment Calc'!$M$5:$M$132))</f>
        <v>0</v>
      </c>
      <c r="BT10" s="26" t="n">
        <f aca="false">IF(WEEKDAY(BT$3,2)&gt;5,0,SUMPRODUCT(('Assignment Calc'!$D$5:$D$132=$A10)*('Assignment Calc'!$H$5:$H$132&lt;&gt;"")*('Assignment Calc'!$H$5:$H$132&lt;=BT$3)*('Assignment Calc'!$I$5:$I$132&gt;=BT$3)*'Assignment Calc'!$K$5:$K$132*'Assignment Calc'!$L$5:$L$132*'Assignment Calc'!$M$5:$M$132))</f>
        <v>0</v>
      </c>
      <c r="BU10" s="26" t="n">
        <f aca="false">IF(WEEKDAY(BU$3,2)&gt;5,0,SUMPRODUCT(('Assignment Calc'!$D$5:$D$132=$A10)*('Assignment Calc'!$H$5:$H$132&lt;&gt;"")*('Assignment Calc'!$H$5:$H$132&lt;=BU$3)*('Assignment Calc'!$I$5:$I$132&gt;=BU$3)*'Assignment Calc'!$K$5:$K$132*'Assignment Calc'!$L$5:$L$132*'Assignment Calc'!$M$5:$M$132))</f>
        <v>0</v>
      </c>
      <c r="BV10" s="26" t="n">
        <f aca="false">IF(WEEKDAY(BV$3,2)&gt;5,0,SUMPRODUCT(('Assignment Calc'!$D$5:$D$132=$A10)*('Assignment Calc'!$H$5:$H$132&lt;&gt;"")*('Assignment Calc'!$H$5:$H$132&lt;=BV$3)*('Assignment Calc'!$I$5:$I$132&gt;=BV$3)*'Assignment Calc'!$K$5:$K$132*'Assignment Calc'!$L$5:$L$132*'Assignment Calc'!$M$5:$M$132))</f>
        <v>0</v>
      </c>
      <c r="BW10" s="26" t="n">
        <f aca="false">IF(WEEKDAY(BW$3,2)&gt;5,0,SUMPRODUCT(('Assignment Calc'!$D$5:$D$132=$A10)*('Assignment Calc'!$H$5:$H$132&lt;&gt;"")*('Assignment Calc'!$H$5:$H$132&lt;=BW$3)*('Assignment Calc'!$I$5:$I$132&gt;=BW$3)*'Assignment Calc'!$K$5:$K$132*'Assignment Calc'!$L$5:$L$132*'Assignment Calc'!$M$5:$M$132))</f>
        <v>0</v>
      </c>
      <c r="BX10" s="26" t="n">
        <f aca="false">IF(WEEKDAY(BX$3,2)&gt;5,0,SUMPRODUCT(('Assignment Calc'!$D$5:$D$132=$A10)*('Assignment Calc'!$H$5:$H$132&lt;&gt;"")*('Assignment Calc'!$H$5:$H$132&lt;=BX$3)*('Assignment Calc'!$I$5:$I$132&gt;=BX$3)*'Assignment Calc'!$K$5:$K$132*'Assignment Calc'!$L$5:$L$132*'Assignment Calc'!$M$5:$M$132))</f>
        <v>0</v>
      </c>
      <c r="BY10" s="26" t="n">
        <f aca="false">IF(WEEKDAY(BY$3,2)&gt;5,0,SUMPRODUCT(('Assignment Calc'!$D$5:$D$132=$A10)*('Assignment Calc'!$H$5:$H$132&lt;&gt;"")*('Assignment Calc'!$H$5:$H$132&lt;=BY$3)*('Assignment Calc'!$I$5:$I$132&gt;=BY$3)*'Assignment Calc'!$K$5:$K$132*'Assignment Calc'!$L$5:$L$132*'Assignment Calc'!$M$5:$M$132))</f>
        <v>0</v>
      </c>
      <c r="BZ10" s="26" t="n">
        <f aca="false">IF(WEEKDAY(BZ$3,2)&gt;5,0,SUMPRODUCT(('Assignment Calc'!$D$5:$D$132=$A10)*('Assignment Calc'!$H$5:$H$132&lt;&gt;"")*('Assignment Calc'!$H$5:$H$132&lt;=BZ$3)*('Assignment Calc'!$I$5:$I$132&gt;=BZ$3)*'Assignment Calc'!$K$5:$K$132*'Assignment Calc'!$L$5:$L$132*'Assignment Calc'!$M$5:$M$132))</f>
        <v>0</v>
      </c>
      <c r="CA10" s="26" t="n">
        <f aca="false">IF(WEEKDAY(CA$3,2)&gt;5,0,SUMPRODUCT(('Assignment Calc'!$D$5:$D$132=$A10)*('Assignment Calc'!$H$5:$H$132&lt;&gt;"")*('Assignment Calc'!$H$5:$H$132&lt;=CA$3)*('Assignment Calc'!$I$5:$I$132&gt;=CA$3)*'Assignment Calc'!$K$5:$K$132*'Assignment Calc'!$L$5:$L$132*'Assignment Calc'!$M$5:$M$132))</f>
        <v>0</v>
      </c>
      <c r="CB10" s="26" t="n">
        <f aca="false">IF(WEEKDAY(CB$3,2)&gt;5,0,SUMPRODUCT(('Assignment Calc'!$D$5:$D$132=$A10)*('Assignment Calc'!$H$5:$H$132&lt;&gt;"")*('Assignment Calc'!$H$5:$H$132&lt;=CB$3)*('Assignment Calc'!$I$5:$I$132&gt;=CB$3)*'Assignment Calc'!$K$5:$K$132*'Assignment Calc'!$L$5:$L$132*'Assignment Calc'!$M$5:$M$132))</f>
        <v>0</v>
      </c>
      <c r="CC10" s="26" t="n">
        <f aca="false">IF(WEEKDAY(CC$3,2)&gt;5,0,SUMPRODUCT(('Assignment Calc'!$D$5:$D$132=$A10)*('Assignment Calc'!$H$5:$H$132&lt;&gt;"")*('Assignment Calc'!$H$5:$H$132&lt;=CC$3)*('Assignment Calc'!$I$5:$I$132&gt;=CC$3)*'Assignment Calc'!$K$5:$K$132*'Assignment Calc'!$L$5:$L$132*'Assignment Calc'!$M$5:$M$132))</f>
        <v>0</v>
      </c>
      <c r="CD10" s="26" t="n">
        <f aca="false">IF(WEEKDAY(CD$3,2)&gt;5,0,SUMPRODUCT(('Assignment Calc'!$D$5:$D$132=$A10)*('Assignment Calc'!$H$5:$H$132&lt;&gt;"")*('Assignment Calc'!$H$5:$H$132&lt;=CD$3)*('Assignment Calc'!$I$5:$I$132&gt;=CD$3)*'Assignment Calc'!$K$5:$K$132*'Assignment Calc'!$L$5:$L$132*'Assignment Calc'!$M$5:$M$132))</f>
        <v>0</v>
      </c>
      <c r="CE10" s="26" t="n">
        <f aca="false">IF(WEEKDAY(CE$3,2)&gt;5,0,SUMPRODUCT(('Assignment Calc'!$D$5:$D$132=$A10)*('Assignment Calc'!$H$5:$H$132&lt;&gt;"")*('Assignment Calc'!$H$5:$H$132&lt;=CE$3)*('Assignment Calc'!$I$5:$I$132&gt;=CE$3)*'Assignment Calc'!$K$5:$K$132*'Assignment Calc'!$L$5:$L$132*'Assignment Calc'!$M$5:$M$132))</f>
        <v>0</v>
      </c>
      <c r="CF10" s="26" t="n">
        <f aca="false">IF(WEEKDAY(CF$3,2)&gt;5,0,SUMPRODUCT(('Assignment Calc'!$D$5:$D$132=$A10)*('Assignment Calc'!$H$5:$H$132&lt;&gt;"")*('Assignment Calc'!$H$5:$H$132&lt;=CF$3)*('Assignment Calc'!$I$5:$I$132&gt;=CF$3)*'Assignment Calc'!$K$5:$K$132*'Assignment Calc'!$L$5:$L$132*'Assignment Calc'!$M$5:$M$132))</f>
        <v>0</v>
      </c>
      <c r="CG10" s="26" t="n">
        <f aca="false">IF(WEEKDAY(CG$3,2)&gt;5,0,SUMPRODUCT(('Assignment Calc'!$D$5:$D$132=$A10)*('Assignment Calc'!$H$5:$H$132&lt;&gt;"")*('Assignment Calc'!$H$5:$H$132&lt;=CG$3)*('Assignment Calc'!$I$5:$I$132&gt;=CG$3)*'Assignment Calc'!$K$5:$K$132*'Assignment Calc'!$L$5:$L$132*'Assignment Calc'!$M$5:$M$132))</f>
        <v>0</v>
      </c>
      <c r="CH10" s="26" t="n">
        <f aca="false">IF(WEEKDAY(CH$3,2)&gt;5,0,SUMPRODUCT(('Assignment Calc'!$D$5:$D$132=$A10)*('Assignment Calc'!$H$5:$H$132&lt;&gt;"")*('Assignment Calc'!$H$5:$H$132&lt;=CH$3)*('Assignment Calc'!$I$5:$I$132&gt;=CH$3)*'Assignment Calc'!$K$5:$K$132*'Assignment Calc'!$L$5:$L$132*'Assignment Calc'!$M$5:$M$132))</f>
        <v>0</v>
      </c>
      <c r="CI10" s="26" t="n">
        <f aca="false">IF(WEEKDAY(CI$3,2)&gt;5,0,SUMPRODUCT(('Assignment Calc'!$D$5:$D$132=$A10)*('Assignment Calc'!$H$5:$H$132&lt;&gt;"")*('Assignment Calc'!$H$5:$H$132&lt;=CI$3)*('Assignment Calc'!$I$5:$I$132&gt;=CI$3)*'Assignment Calc'!$K$5:$K$132*'Assignment Calc'!$L$5:$L$132*'Assignment Calc'!$M$5:$M$132))</f>
        <v>0</v>
      </c>
      <c r="CJ10" s="26" t="n">
        <f aca="false">IF(WEEKDAY(CJ$3,2)&gt;5,0,SUMPRODUCT(('Assignment Calc'!$D$5:$D$132=$A10)*('Assignment Calc'!$H$5:$H$132&lt;&gt;"")*('Assignment Calc'!$H$5:$H$132&lt;=CJ$3)*('Assignment Calc'!$I$5:$I$132&gt;=CJ$3)*'Assignment Calc'!$K$5:$K$132*'Assignment Calc'!$L$5:$L$132*'Assignment Calc'!$M$5:$M$132))</f>
        <v>0</v>
      </c>
      <c r="CK10" s="26" t="n">
        <f aca="false">IF(WEEKDAY(CK$3,2)&gt;5,0,SUMPRODUCT(('Assignment Calc'!$D$5:$D$132=$A10)*('Assignment Calc'!$H$5:$H$132&lt;&gt;"")*('Assignment Calc'!$H$5:$H$132&lt;=CK$3)*('Assignment Calc'!$I$5:$I$132&gt;=CK$3)*'Assignment Calc'!$K$5:$K$132*'Assignment Calc'!$L$5:$L$132*'Assignment Calc'!$M$5:$M$132))</f>
        <v>0</v>
      </c>
      <c r="CL10" s="26" t="n">
        <f aca="false">IF(WEEKDAY(CL$3,2)&gt;5,0,SUMPRODUCT(('Assignment Calc'!$D$5:$D$132=$A10)*('Assignment Calc'!$H$5:$H$132&lt;&gt;"")*('Assignment Calc'!$H$5:$H$132&lt;=CL$3)*('Assignment Calc'!$I$5:$I$132&gt;=CL$3)*'Assignment Calc'!$K$5:$K$132*'Assignment Calc'!$L$5:$L$132*'Assignment Calc'!$M$5:$M$132))</f>
        <v>0</v>
      </c>
      <c r="CM10" s="26" t="n">
        <f aca="false">IF(WEEKDAY(CM$3,2)&gt;5,0,SUMPRODUCT(('Assignment Calc'!$D$5:$D$132=$A10)*('Assignment Calc'!$H$5:$H$132&lt;&gt;"")*('Assignment Calc'!$H$5:$H$132&lt;=CM$3)*('Assignment Calc'!$I$5:$I$132&gt;=CM$3)*'Assignment Calc'!$K$5:$K$132*'Assignment Calc'!$L$5:$L$132*'Assignment Calc'!$M$5:$M$132))</f>
        <v>0</v>
      </c>
      <c r="CN10" s="26" t="n">
        <f aca="false">IF(WEEKDAY(CN$3,2)&gt;5,0,SUMPRODUCT(('Assignment Calc'!$D$5:$D$132=$A10)*('Assignment Calc'!$H$5:$H$132&lt;&gt;"")*('Assignment Calc'!$H$5:$H$132&lt;=CN$3)*('Assignment Calc'!$I$5:$I$132&gt;=CN$3)*'Assignment Calc'!$K$5:$K$132*'Assignment Calc'!$L$5:$L$132*'Assignment Calc'!$M$5:$M$132))</f>
        <v>0</v>
      </c>
      <c r="CO10" s="26" t="n">
        <f aca="false">IF(WEEKDAY(CO$3,2)&gt;5,0,SUMPRODUCT(('Assignment Calc'!$D$5:$D$132=$A10)*('Assignment Calc'!$H$5:$H$132&lt;&gt;"")*('Assignment Calc'!$H$5:$H$132&lt;=CO$3)*('Assignment Calc'!$I$5:$I$132&gt;=CO$3)*'Assignment Calc'!$K$5:$K$132*'Assignment Calc'!$L$5:$L$132*'Assignment Calc'!$M$5:$M$132))</f>
        <v>0</v>
      </c>
      <c r="CP10" s="26" t="n">
        <f aca="false">IF(WEEKDAY(CP$3,2)&gt;5,0,SUMPRODUCT(('Assignment Calc'!$D$5:$D$132=$A10)*('Assignment Calc'!$H$5:$H$132&lt;&gt;"")*('Assignment Calc'!$H$5:$H$132&lt;=CP$3)*('Assignment Calc'!$I$5:$I$132&gt;=CP$3)*'Assignment Calc'!$K$5:$K$132*'Assignment Calc'!$L$5:$L$132*'Assignment Calc'!$M$5:$M$132))</f>
        <v>0</v>
      </c>
    </row>
    <row r="11" customFormat="false" ht="15" hidden="false" customHeight="true" outlineLevel="0" collapsed="false">
      <c r="A11" s="2" t="s">
        <v>397</v>
      </c>
      <c r="B11" s="23" t="n">
        <f aca="false">SUM(C11:CP11)</f>
        <v>177.75</v>
      </c>
      <c r="C11" s="26" t="n">
        <f aca="false">IF(WEEKDAY(C$3,2)&gt;5,0,SUMPRODUCT(('Assignment Calc'!$D$5:$D$132=$A11)*('Assignment Calc'!$H$5:$H$132&lt;&gt;"")*('Assignment Calc'!$H$5:$H$132&lt;=C$3)*('Assignment Calc'!$I$5:$I$132&gt;=C$3)*'Assignment Calc'!$K$5:$K$132*'Assignment Calc'!$L$5:$L$132*'Assignment Calc'!$M$5:$M$132))</f>
        <v>0</v>
      </c>
      <c r="D11" s="26" t="n">
        <f aca="false">IF(WEEKDAY(D$3,2)&gt;5,0,SUMPRODUCT(('Assignment Calc'!$D$5:$D$132=$A11)*('Assignment Calc'!$H$5:$H$132&lt;&gt;"")*('Assignment Calc'!$H$5:$H$132&lt;=D$3)*('Assignment Calc'!$I$5:$I$132&gt;=D$3)*'Assignment Calc'!$K$5:$K$132*'Assignment Calc'!$L$5:$L$132*'Assignment Calc'!$M$5:$M$132))</f>
        <v>0</v>
      </c>
      <c r="E11" s="26" t="n">
        <f aca="false">IF(WEEKDAY(E$3,2)&gt;5,0,SUMPRODUCT(('Assignment Calc'!$D$5:$D$132=$A11)*('Assignment Calc'!$H$5:$H$132&lt;&gt;"")*('Assignment Calc'!$H$5:$H$132&lt;=E$3)*('Assignment Calc'!$I$5:$I$132&gt;=E$3)*'Assignment Calc'!$K$5:$K$132*'Assignment Calc'!$L$5:$L$132*'Assignment Calc'!$M$5:$M$132))</f>
        <v>0</v>
      </c>
      <c r="F11" s="26" t="n">
        <f aca="false">IF(WEEKDAY(F$3,2)&gt;5,0,SUMPRODUCT(('Assignment Calc'!$D$5:$D$132=$A11)*('Assignment Calc'!$H$5:$H$132&lt;&gt;"")*('Assignment Calc'!$H$5:$H$132&lt;=F$3)*('Assignment Calc'!$I$5:$I$132&gt;=F$3)*'Assignment Calc'!$K$5:$K$132*'Assignment Calc'!$L$5:$L$132*'Assignment Calc'!$M$5:$M$132))</f>
        <v>0</v>
      </c>
      <c r="G11" s="26" t="n">
        <f aca="false">IF(WEEKDAY(G$3,2)&gt;5,0,SUMPRODUCT(('Assignment Calc'!$D$5:$D$132=$A11)*('Assignment Calc'!$H$5:$H$132&lt;&gt;"")*('Assignment Calc'!$H$5:$H$132&lt;=G$3)*('Assignment Calc'!$I$5:$I$132&gt;=G$3)*'Assignment Calc'!$K$5:$K$132*'Assignment Calc'!$L$5:$L$132*'Assignment Calc'!$M$5:$M$132))</f>
        <v>0</v>
      </c>
      <c r="H11" s="26" t="n">
        <f aca="false">IF(WEEKDAY(H$3,2)&gt;5,0,SUMPRODUCT(('Assignment Calc'!$D$5:$D$132=$A11)*('Assignment Calc'!$H$5:$H$132&lt;&gt;"")*('Assignment Calc'!$H$5:$H$132&lt;=H$3)*('Assignment Calc'!$I$5:$I$132&gt;=H$3)*'Assignment Calc'!$K$5:$K$132*'Assignment Calc'!$L$5:$L$132*'Assignment Calc'!$M$5:$M$132))</f>
        <v>0</v>
      </c>
      <c r="I11" s="26" t="n">
        <f aca="false">IF(WEEKDAY(I$3,2)&gt;5,0,SUMPRODUCT(('Assignment Calc'!$D$5:$D$132=$A11)*('Assignment Calc'!$H$5:$H$132&lt;&gt;"")*('Assignment Calc'!$H$5:$H$132&lt;=I$3)*('Assignment Calc'!$I$5:$I$132&gt;=I$3)*'Assignment Calc'!$K$5:$K$132*'Assignment Calc'!$L$5:$L$132*'Assignment Calc'!$M$5:$M$132))</f>
        <v>0</v>
      </c>
      <c r="J11" s="26" t="n">
        <f aca="false">IF(WEEKDAY(J$3,2)&gt;5,0,SUMPRODUCT(('Assignment Calc'!$D$5:$D$132=$A11)*('Assignment Calc'!$H$5:$H$132&lt;&gt;"")*('Assignment Calc'!$H$5:$H$132&lt;=J$3)*('Assignment Calc'!$I$5:$I$132&gt;=J$3)*'Assignment Calc'!$K$5:$K$132*'Assignment Calc'!$L$5:$L$132*'Assignment Calc'!$M$5:$M$132))</f>
        <v>0</v>
      </c>
      <c r="K11" s="26" t="n">
        <f aca="false">IF(WEEKDAY(K$3,2)&gt;5,0,SUMPRODUCT(('Assignment Calc'!$D$5:$D$132=$A11)*('Assignment Calc'!$H$5:$H$132&lt;&gt;"")*('Assignment Calc'!$H$5:$H$132&lt;=K$3)*('Assignment Calc'!$I$5:$I$132&gt;=K$3)*'Assignment Calc'!$K$5:$K$132*'Assignment Calc'!$L$5:$L$132*'Assignment Calc'!$M$5:$M$132))</f>
        <v>0</v>
      </c>
      <c r="L11" s="26" t="n">
        <f aca="false">IF(WEEKDAY(L$3,2)&gt;5,0,SUMPRODUCT(('Assignment Calc'!$D$5:$D$132=$A11)*('Assignment Calc'!$H$5:$H$132&lt;&gt;"")*('Assignment Calc'!$H$5:$H$132&lt;=L$3)*('Assignment Calc'!$I$5:$I$132&gt;=L$3)*'Assignment Calc'!$K$5:$K$132*'Assignment Calc'!$L$5:$L$132*'Assignment Calc'!$M$5:$M$132))</f>
        <v>0</v>
      </c>
      <c r="M11" s="26" t="n">
        <f aca="false">IF(WEEKDAY(M$3,2)&gt;5,0,SUMPRODUCT(('Assignment Calc'!$D$5:$D$132=$A11)*('Assignment Calc'!$H$5:$H$132&lt;&gt;"")*('Assignment Calc'!$H$5:$H$132&lt;=M$3)*('Assignment Calc'!$I$5:$I$132&gt;=M$3)*'Assignment Calc'!$K$5:$K$132*'Assignment Calc'!$L$5:$L$132*'Assignment Calc'!$M$5:$M$132))</f>
        <v>0</v>
      </c>
      <c r="N11" s="26" t="n">
        <f aca="false">IF(WEEKDAY(N$3,2)&gt;5,0,SUMPRODUCT(('Assignment Calc'!$D$5:$D$132=$A11)*('Assignment Calc'!$H$5:$H$132&lt;&gt;"")*('Assignment Calc'!$H$5:$H$132&lt;=N$3)*('Assignment Calc'!$I$5:$I$132&gt;=N$3)*'Assignment Calc'!$K$5:$K$132*'Assignment Calc'!$L$5:$L$132*'Assignment Calc'!$M$5:$M$132))</f>
        <v>4.5</v>
      </c>
      <c r="O11" s="26" t="n">
        <f aca="false">IF(WEEKDAY(O$3,2)&gt;5,0,SUMPRODUCT(('Assignment Calc'!$D$5:$D$132=$A11)*('Assignment Calc'!$H$5:$H$132&lt;&gt;"")*('Assignment Calc'!$H$5:$H$132&lt;=O$3)*('Assignment Calc'!$I$5:$I$132&gt;=O$3)*'Assignment Calc'!$K$5:$K$132*'Assignment Calc'!$L$5:$L$132*'Assignment Calc'!$M$5:$M$132))</f>
        <v>4.5</v>
      </c>
      <c r="P11" s="26" t="n">
        <f aca="false">IF(WEEKDAY(P$3,2)&gt;5,0,SUMPRODUCT(('Assignment Calc'!$D$5:$D$132=$A11)*('Assignment Calc'!$H$5:$H$132&lt;&gt;"")*('Assignment Calc'!$H$5:$H$132&lt;=P$3)*('Assignment Calc'!$I$5:$I$132&gt;=P$3)*'Assignment Calc'!$K$5:$K$132*'Assignment Calc'!$L$5:$L$132*'Assignment Calc'!$M$5:$M$132))</f>
        <v>4.5</v>
      </c>
      <c r="Q11" s="26" t="n">
        <f aca="false">IF(WEEKDAY(Q$3,2)&gt;5,0,SUMPRODUCT(('Assignment Calc'!$D$5:$D$132=$A11)*('Assignment Calc'!$H$5:$H$132&lt;&gt;"")*('Assignment Calc'!$H$5:$H$132&lt;=Q$3)*('Assignment Calc'!$I$5:$I$132&gt;=Q$3)*'Assignment Calc'!$K$5:$K$132*'Assignment Calc'!$L$5:$L$132*'Assignment Calc'!$M$5:$M$132))</f>
        <v>4.5</v>
      </c>
      <c r="R11" s="26" t="n">
        <f aca="false">IF(WEEKDAY(R$3,2)&gt;5,0,SUMPRODUCT(('Assignment Calc'!$D$5:$D$132=$A11)*('Assignment Calc'!$H$5:$H$132&lt;&gt;"")*('Assignment Calc'!$H$5:$H$132&lt;=R$3)*('Assignment Calc'!$I$5:$I$132&gt;=R$3)*'Assignment Calc'!$K$5:$K$132*'Assignment Calc'!$L$5:$L$132*'Assignment Calc'!$M$5:$M$132))</f>
        <v>4.5</v>
      </c>
      <c r="S11" s="26" t="n">
        <f aca="false">IF(WEEKDAY(S$3,2)&gt;5,0,SUMPRODUCT(('Assignment Calc'!$D$5:$D$132=$A11)*('Assignment Calc'!$H$5:$H$132&lt;&gt;"")*('Assignment Calc'!$H$5:$H$132&lt;=S$3)*('Assignment Calc'!$I$5:$I$132&gt;=S$3)*'Assignment Calc'!$K$5:$K$132*'Assignment Calc'!$L$5:$L$132*'Assignment Calc'!$M$5:$M$132))</f>
        <v>0</v>
      </c>
      <c r="T11" s="26" t="n">
        <f aca="false">IF(WEEKDAY(T$3,2)&gt;5,0,SUMPRODUCT(('Assignment Calc'!$D$5:$D$132=$A11)*('Assignment Calc'!$H$5:$H$132&lt;&gt;"")*('Assignment Calc'!$H$5:$H$132&lt;=T$3)*('Assignment Calc'!$I$5:$I$132&gt;=T$3)*'Assignment Calc'!$K$5:$K$132*'Assignment Calc'!$L$5:$L$132*'Assignment Calc'!$M$5:$M$132))</f>
        <v>0</v>
      </c>
      <c r="U11" s="26" t="n">
        <f aca="false">IF(WEEKDAY(U$3,2)&gt;5,0,SUMPRODUCT(('Assignment Calc'!$D$5:$D$132=$A11)*('Assignment Calc'!$H$5:$H$132&lt;&gt;"")*('Assignment Calc'!$H$5:$H$132&lt;=U$3)*('Assignment Calc'!$I$5:$I$132&gt;=U$3)*'Assignment Calc'!$K$5:$K$132*'Assignment Calc'!$L$5:$L$132*'Assignment Calc'!$M$5:$M$132))</f>
        <v>9</v>
      </c>
      <c r="V11" s="26" t="n">
        <f aca="false">IF(WEEKDAY(V$3,2)&gt;5,0,SUMPRODUCT(('Assignment Calc'!$D$5:$D$132=$A11)*('Assignment Calc'!$H$5:$H$132&lt;&gt;"")*('Assignment Calc'!$H$5:$H$132&lt;=V$3)*('Assignment Calc'!$I$5:$I$132&gt;=V$3)*'Assignment Calc'!$K$5:$K$132*'Assignment Calc'!$L$5:$L$132*'Assignment Calc'!$M$5:$M$132))</f>
        <v>9</v>
      </c>
      <c r="W11" s="26" t="n">
        <f aca="false">IF(WEEKDAY(W$3,2)&gt;5,0,SUMPRODUCT(('Assignment Calc'!$D$5:$D$132=$A11)*('Assignment Calc'!$H$5:$H$132&lt;&gt;"")*('Assignment Calc'!$H$5:$H$132&lt;=W$3)*('Assignment Calc'!$I$5:$I$132&gt;=W$3)*'Assignment Calc'!$K$5:$K$132*'Assignment Calc'!$L$5:$L$132*'Assignment Calc'!$M$5:$M$132))</f>
        <v>9</v>
      </c>
      <c r="X11" s="26" t="n">
        <f aca="false">IF(WEEKDAY(X$3,2)&gt;5,0,SUMPRODUCT(('Assignment Calc'!$D$5:$D$132=$A11)*('Assignment Calc'!$H$5:$H$132&lt;&gt;"")*('Assignment Calc'!$H$5:$H$132&lt;=X$3)*('Assignment Calc'!$I$5:$I$132&gt;=X$3)*'Assignment Calc'!$K$5:$K$132*'Assignment Calc'!$L$5:$L$132*'Assignment Calc'!$M$5:$M$132))</f>
        <v>9</v>
      </c>
      <c r="Y11" s="26" t="n">
        <f aca="false">IF(WEEKDAY(Y$3,2)&gt;5,0,SUMPRODUCT(('Assignment Calc'!$D$5:$D$132=$A11)*('Assignment Calc'!$H$5:$H$132&lt;&gt;"")*('Assignment Calc'!$H$5:$H$132&lt;=Y$3)*('Assignment Calc'!$I$5:$I$132&gt;=Y$3)*'Assignment Calc'!$K$5:$K$132*'Assignment Calc'!$L$5:$L$132*'Assignment Calc'!$M$5:$M$132))</f>
        <v>9</v>
      </c>
      <c r="Z11" s="26" t="n">
        <f aca="false">IF(WEEKDAY(Z$3,2)&gt;5,0,SUMPRODUCT(('Assignment Calc'!$D$5:$D$132=$A11)*('Assignment Calc'!$H$5:$H$132&lt;&gt;"")*('Assignment Calc'!$H$5:$H$132&lt;=Z$3)*('Assignment Calc'!$I$5:$I$132&gt;=Z$3)*'Assignment Calc'!$K$5:$K$132*'Assignment Calc'!$L$5:$L$132*'Assignment Calc'!$M$5:$M$132))</f>
        <v>0</v>
      </c>
      <c r="AA11" s="26" t="n">
        <f aca="false">IF(WEEKDAY(AA$3,2)&gt;5,0,SUMPRODUCT(('Assignment Calc'!$D$5:$D$132=$A11)*('Assignment Calc'!$H$5:$H$132&lt;&gt;"")*('Assignment Calc'!$H$5:$H$132&lt;=AA$3)*('Assignment Calc'!$I$5:$I$132&gt;=AA$3)*'Assignment Calc'!$K$5:$K$132*'Assignment Calc'!$L$5:$L$132*'Assignment Calc'!$M$5:$M$132))</f>
        <v>0</v>
      </c>
      <c r="AB11" s="26" t="n">
        <f aca="false">IF(WEEKDAY(AB$3,2)&gt;5,0,SUMPRODUCT(('Assignment Calc'!$D$5:$D$132=$A11)*('Assignment Calc'!$H$5:$H$132&lt;&gt;"")*('Assignment Calc'!$H$5:$H$132&lt;=AB$3)*('Assignment Calc'!$I$5:$I$132&gt;=AB$3)*'Assignment Calc'!$K$5:$K$132*'Assignment Calc'!$L$5:$L$132*'Assignment Calc'!$M$5:$M$132))</f>
        <v>0</v>
      </c>
      <c r="AC11" s="26" t="n">
        <f aca="false">IF(WEEKDAY(AC$3,2)&gt;5,0,SUMPRODUCT(('Assignment Calc'!$D$5:$D$132=$A11)*('Assignment Calc'!$H$5:$H$132&lt;&gt;"")*('Assignment Calc'!$H$5:$H$132&lt;=AC$3)*('Assignment Calc'!$I$5:$I$132&gt;=AC$3)*'Assignment Calc'!$K$5:$K$132*'Assignment Calc'!$L$5:$L$132*'Assignment Calc'!$M$5:$M$132))</f>
        <v>0</v>
      </c>
      <c r="AD11" s="26" t="n">
        <f aca="false">IF(WEEKDAY(AD$3,2)&gt;5,0,SUMPRODUCT(('Assignment Calc'!$D$5:$D$132=$A11)*('Assignment Calc'!$H$5:$H$132&lt;&gt;"")*('Assignment Calc'!$H$5:$H$132&lt;=AD$3)*('Assignment Calc'!$I$5:$I$132&gt;=AD$3)*'Assignment Calc'!$K$5:$K$132*'Assignment Calc'!$L$5:$L$132*'Assignment Calc'!$M$5:$M$132))</f>
        <v>0</v>
      </c>
      <c r="AE11" s="26" t="n">
        <f aca="false">IF(WEEKDAY(AE$3,2)&gt;5,0,SUMPRODUCT(('Assignment Calc'!$D$5:$D$132=$A11)*('Assignment Calc'!$H$5:$H$132&lt;&gt;"")*('Assignment Calc'!$H$5:$H$132&lt;=AE$3)*('Assignment Calc'!$I$5:$I$132&gt;=AE$3)*'Assignment Calc'!$K$5:$K$132*'Assignment Calc'!$L$5:$L$132*'Assignment Calc'!$M$5:$M$132))</f>
        <v>0</v>
      </c>
      <c r="AF11" s="26" t="n">
        <f aca="false">IF(WEEKDAY(AF$3,2)&gt;5,0,SUMPRODUCT(('Assignment Calc'!$D$5:$D$132=$A11)*('Assignment Calc'!$H$5:$H$132&lt;&gt;"")*('Assignment Calc'!$H$5:$H$132&lt;=AF$3)*('Assignment Calc'!$I$5:$I$132&gt;=AF$3)*'Assignment Calc'!$K$5:$K$132*'Assignment Calc'!$L$5:$L$132*'Assignment Calc'!$M$5:$M$132))</f>
        <v>0</v>
      </c>
      <c r="AG11" s="26" t="n">
        <f aca="false">IF(WEEKDAY(AG$3,2)&gt;5,0,SUMPRODUCT(('Assignment Calc'!$D$5:$D$132=$A11)*('Assignment Calc'!$H$5:$H$132&lt;&gt;"")*('Assignment Calc'!$H$5:$H$132&lt;=AG$3)*('Assignment Calc'!$I$5:$I$132&gt;=AG$3)*'Assignment Calc'!$K$5:$K$132*'Assignment Calc'!$L$5:$L$132*'Assignment Calc'!$M$5:$M$132))</f>
        <v>0</v>
      </c>
      <c r="AH11" s="26" t="n">
        <f aca="false">IF(WEEKDAY(AH$3,2)&gt;5,0,SUMPRODUCT(('Assignment Calc'!$D$5:$D$132=$A11)*('Assignment Calc'!$H$5:$H$132&lt;&gt;"")*('Assignment Calc'!$H$5:$H$132&lt;=AH$3)*('Assignment Calc'!$I$5:$I$132&gt;=AH$3)*'Assignment Calc'!$K$5:$K$132*'Assignment Calc'!$L$5:$L$132*'Assignment Calc'!$M$5:$M$132))</f>
        <v>0</v>
      </c>
      <c r="AI11" s="26" t="n">
        <f aca="false">IF(WEEKDAY(AI$3,2)&gt;5,0,SUMPRODUCT(('Assignment Calc'!$D$5:$D$132=$A11)*('Assignment Calc'!$H$5:$H$132&lt;&gt;"")*('Assignment Calc'!$H$5:$H$132&lt;=AI$3)*('Assignment Calc'!$I$5:$I$132&gt;=AI$3)*'Assignment Calc'!$K$5:$K$132*'Assignment Calc'!$L$5:$L$132*'Assignment Calc'!$M$5:$M$132))</f>
        <v>0</v>
      </c>
      <c r="AJ11" s="26" t="n">
        <f aca="false">IF(WEEKDAY(AJ$3,2)&gt;5,0,SUMPRODUCT(('Assignment Calc'!$D$5:$D$132=$A11)*('Assignment Calc'!$H$5:$H$132&lt;&gt;"")*('Assignment Calc'!$H$5:$H$132&lt;=AJ$3)*('Assignment Calc'!$I$5:$I$132&gt;=AJ$3)*'Assignment Calc'!$K$5:$K$132*'Assignment Calc'!$L$5:$L$132*'Assignment Calc'!$M$5:$M$132))</f>
        <v>0</v>
      </c>
      <c r="AK11" s="26" t="n">
        <f aca="false">IF(WEEKDAY(AK$3,2)&gt;5,0,SUMPRODUCT(('Assignment Calc'!$D$5:$D$132=$A11)*('Assignment Calc'!$H$5:$H$132&lt;&gt;"")*('Assignment Calc'!$H$5:$H$132&lt;=AK$3)*('Assignment Calc'!$I$5:$I$132&gt;=AK$3)*'Assignment Calc'!$K$5:$K$132*'Assignment Calc'!$L$5:$L$132*'Assignment Calc'!$M$5:$M$132))</f>
        <v>0</v>
      </c>
      <c r="AL11" s="26" t="n">
        <f aca="false">IF(WEEKDAY(AL$3,2)&gt;5,0,SUMPRODUCT(('Assignment Calc'!$D$5:$D$132=$A11)*('Assignment Calc'!$H$5:$H$132&lt;&gt;"")*('Assignment Calc'!$H$5:$H$132&lt;=AL$3)*('Assignment Calc'!$I$5:$I$132&gt;=AL$3)*'Assignment Calc'!$K$5:$K$132*'Assignment Calc'!$L$5:$L$132*'Assignment Calc'!$M$5:$M$132))</f>
        <v>0</v>
      </c>
      <c r="AM11" s="26" t="n">
        <f aca="false">IF(WEEKDAY(AM$3,2)&gt;5,0,SUMPRODUCT(('Assignment Calc'!$D$5:$D$132=$A11)*('Assignment Calc'!$H$5:$H$132&lt;&gt;"")*('Assignment Calc'!$H$5:$H$132&lt;=AM$3)*('Assignment Calc'!$I$5:$I$132&gt;=AM$3)*'Assignment Calc'!$K$5:$K$132*'Assignment Calc'!$L$5:$L$132*'Assignment Calc'!$M$5:$M$132))</f>
        <v>0</v>
      </c>
      <c r="AN11" s="26" t="n">
        <f aca="false">IF(WEEKDAY(AN$3,2)&gt;5,0,SUMPRODUCT(('Assignment Calc'!$D$5:$D$132=$A11)*('Assignment Calc'!$H$5:$H$132&lt;&gt;"")*('Assignment Calc'!$H$5:$H$132&lt;=AN$3)*('Assignment Calc'!$I$5:$I$132&gt;=AN$3)*'Assignment Calc'!$K$5:$K$132*'Assignment Calc'!$L$5:$L$132*'Assignment Calc'!$M$5:$M$132))</f>
        <v>0</v>
      </c>
      <c r="AO11" s="26" t="n">
        <f aca="false">IF(WEEKDAY(AO$3,2)&gt;5,0,SUMPRODUCT(('Assignment Calc'!$D$5:$D$132=$A11)*('Assignment Calc'!$H$5:$H$132&lt;&gt;"")*('Assignment Calc'!$H$5:$H$132&lt;=AO$3)*('Assignment Calc'!$I$5:$I$132&gt;=AO$3)*'Assignment Calc'!$K$5:$K$132*'Assignment Calc'!$L$5:$L$132*'Assignment Calc'!$M$5:$M$132))</f>
        <v>0</v>
      </c>
      <c r="AP11" s="26" t="n">
        <f aca="false">IF(WEEKDAY(AP$3,2)&gt;5,0,SUMPRODUCT(('Assignment Calc'!$D$5:$D$132=$A11)*('Assignment Calc'!$H$5:$H$132&lt;&gt;"")*('Assignment Calc'!$H$5:$H$132&lt;=AP$3)*('Assignment Calc'!$I$5:$I$132&gt;=AP$3)*'Assignment Calc'!$K$5:$K$132*'Assignment Calc'!$L$5:$L$132*'Assignment Calc'!$M$5:$M$132))</f>
        <v>0</v>
      </c>
      <c r="AQ11" s="26" t="n">
        <f aca="false">IF(WEEKDAY(AQ$3,2)&gt;5,0,SUMPRODUCT(('Assignment Calc'!$D$5:$D$132=$A11)*('Assignment Calc'!$H$5:$H$132&lt;&gt;"")*('Assignment Calc'!$H$5:$H$132&lt;=AQ$3)*('Assignment Calc'!$I$5:$I$132&gt;=AQ$3)*'Assignment Calc'!$K$5:$K$132*'Assignment Calc'!$L$5:$L$132*'Assignment Calc'!$M$5:$M$132))</f>
        <v>0</v>
      </c>
      <c r="AR11" s="26" t="n">
        <f aca="false">IF(WEEKDAY(AR$3,2)&gt;5,0,SUMPRODUCT(('Assignment Calc'!$D$5:$D$132=$A11)*('Assignment Calc'!$H$5:$H$132&lt;&gt;"")*('Assignment Calc'!$H$5:$H$132&lt;=AR$3)*('Assignment Calc'!$I$5:$I$132&gt;=AR$3)*'Assignment Calc'!$K$5:$K$132*'Assignment Calc'!$L$5:$L$132*'Assignment Calc'!$M$5:$M$132))</f>
        <v>0</v>
      </c>
      <c r="AS11" s="26" t="n">
        <f aca="false">IF(WEEKDAY(AS$3,2)&gt;5,0,SUMPRODUCT(('Assignment Calc'!$D$5:$D$132=$A11)*('Assignment Calc'!$H$5:$H$132&lt;&gt;"")*('Assignment Calc'!$H$5:$H$132&lt;=AS$3)*('Assignment Calc'!$I$5:$I$132&gt;=AS$3)*'Assignment Calc'!$K$5:$K$132*'Assignment Calc'!$L$5:$L$132*'Assignment Calc'!$M$5:$M$132))</f>
        <v>0</v>
      </c>
      <c r="AT11" s="26" t="n">
        <f aca="false">IF(WEEKDAY(AT$3,2)&gt;5,0,SUMPRODUCT(('Assignment Calc'!$D$5:$D$132=$A11)*('Assignment Calc'!$H$5:$H$132&lt;&gt;"")*('Assignment Calc'!$H$5:$H$132&lt;=AT$3)*('Assignment Calc'!$I$5:$I$132&gt;=AT$3)*'Assignment Calc'!$K$5:$K$132*'Assignment Calc'!$L$5:$L$132*'Assignment Calc'!$M$5:$M$132))</f>
        <v>0</v>
      </c>
      <c r="AU11" s="26" t="n">
        <f aca="false">IF(WEEKDAY(AU$3,2)&gt;5,0,SUMPRODUCT(('Assignment Calc'!$D$5:$D$132=$A11)*('Assignment Calc'!$H$5:$H$132&lt;&gt;"")*('Assignment Calc'!$H$5:$H$132&lt;=AU$3)*('Assignment Calc'!$I$5:$I$132&gt;=AU$3)*'Assignment Calc'!$K$5:$K$132*'Assignment Calc'!$L$5:$L$132*'Assignment Calc'!$M$5:$M$132))</f>
        <v>0</v>
      </c>
      <c r="AV11" s="26" t="n">
        <f aca="false">IF(WEEKDAY(AV$3,2)&gt;5,0,SUMPRODUCT(('Assignment Calc'!$D$5:$D$132=$A11)*('Assignment Calc'!$H$5:$H$132&lt;&gt;"")*('Assignment Calc'!$H$5:$H$132&lt;=AV$3)*('Assignment Calc'!$I$5:$I$132&gt;=AV$3)*'Assignment Calc'!$K$5:$K$132*'Assignment Calc'!$L$5:$L$132*'Assignment Calc'!$M$5:$M$132))</f>
        <v>0</v>
      </c>
      <c r="AW11" s="26" t="n">
        <f aca="false">IF(WEEKDAY(AW$3,2)&gt;5,0,SUMPRODUCT(('Assignment Calc'!$D$5:$D$132=$A11)*('Assignment Calc'!$H$5:$H$132&lt;&gt;"")*('Assignment Calc'!$H$5:$H$132&lt;=AW$3)*('Assignment Calc'!$I$5:$I$132&gt;=AW$3)*'Assignment Calc'!$K$5:$K$132*'Assignment Calc'!$L$5:$L$132*'Assignment Calc'!$M$5:$M$132))</f>
        <v>0</v>
      </c>
      <c r="AX11" s="26" t="n">
        <f aca="false">IF(WEEKDAY(AX$3,2)&gt;5,0,SUMPRODUCT(('Assignment Calc'!$D$5:$D$132=$A11)*('Assignment Calc'!$H$5:$H$132&lt;&gt;"")*('Assignment Calc'!$H$5:$H$132&lt;=AX$3)*('Assignment Calc'!$I$5:$I$132&gt;=AX$3)*'Assignment Calc'!$K$5:$K$132*'Assignment Calc'!$L$5:$L$132*'Assignment Calc'!$M$5:$M$132))</f>
        <v>0</v>
      </c>
      <c r="AY11" s="26" t="n">
        <f aca="false">IF(WEEKDAY(AY$3,2)&gt;5,0,SUMPRODUCT(('Assignment Calc'!$D$5:$D$132=$A11)*('Assignment Calc'!$H$5:$H$132&lt;&gt;"")*('Assignment Calc'!$H$5:$H$132&lt;=AY$3)*('Assignment Calc'!$I$5:$I$132&gt;=AY$3)*'Assignment Calc'!$K$5:$K$132*'Assignment Calc'!$L$5:$L$132*'Assignment Calc'!$M$5:$M$132))</f>
        <v>0</v>
      </c>
      <c r="AZ11" s="26" t="n">
        <f aca="false">IF(WEEKDAY(AZ$3,2)&gt;5,0,SUMPRODUCT(('Assignment Calc'!$D$5:$D$132=$A11)*('Assignment Calc'!$H$5:$H$132&lt;&gt;"")*('Assignment Calc'!$H$5:$H$132&lt;=AZ$3)*('Assignment Calc'!$I$5:$I$132&gt;=AZ$3)*'Assignment Calc'!$K$5:$K$132*'Assignment Calc'!$L$5:$L$132*'Assignment Calc'!$M$5:$M$132))</f>
        <v>0</v>
      </c>
      <c r="BA11" s="26" t="n">
        <f aca="false">IF(WEEKDAY(BA$3,2)&gt;5,0,SUMPRODUCT(('Assignment Calc'!$D$5:$D$132=$A11)*('Assignment Calc'!$H$5:$H$132&lt;&gt;"")*('Assignment Calc'!$H$5:$H$132&lt;=BA$3)*('Assignment Calc'!$I$5:$I$132&gt;=BA$3)*'Assignment Calc'!$K$5:$K$132*'Assignment Calc'!$L$5:$L$132*'Assignment Calc'!$M$5:$M$132))</f>
        <v>0</v>
      </c>
      <c r="BB11" s="26" t="n">
        <f aca="false">IF(WEEKDAY(BB$3,2)&gt;5,0,SUMPRODUCT(('Assignment Calc'!$D$5:$D$132=$A11)*('Assignment Calc'!$H$5:$H$132&lt;&gt;"")*('Assignment Calc'!$H$5:$H$132&lt;=BB$3)*('Assignment Calc'!$I$5:$I$132&gt;=BB$3)*'Assignment Calc'!$K$5:$K$132*'Assignment Calc'!$L$5:$L$132*'Assignment Calc'!$M$5:$M$132))</f>
        <v>0</v>
      </c>
      <c r="BC11" s="26" t="n">
        <f aca="false">IF(WEEKDAY(BC$3,2)&gt;5,0,SUMPRODUCT(('Assignment Calc'!$D$5:$D$132=$A11)*('Assignment Calc'!$H$5:$H$132&lt;&gt;"")*('Assignment Calc'!$H$5:$H$132&lt;=BC$3)*('Assignment Calc'!$I$5:$I$132&gt;=BC$3)*'Assignment Calc'!$K$5:$K$132*'Assignment Calc'!$L$5:$L$132*'Assignment Calc'!$M$5:$M$132))</f>
        <v>0</v>
      </c>
      <c r="BD11" s="26" t="n">
        <f aca="false">IF(WEEKDAY(BD$3,2)&gt;5,0,SUMPRODUCT(('Assignment Calc'!$D$5:$D$132=$A11)*('Assignment Calc'!$H$5:$H$132&lt;&gt;"")*('Assignment Calc'!$H$5:$H$132&lt;=BD$3)*('Assignment Calc'!$I$5:$I$132&gt;=BD$3)*'Assignment Calc'!$K$5:$K$132*'Assignment Calc'!$L$5:$L$132*'Assignment Calc'!$M$5:$M$132))</f>
        <v>0</v>
      </c>
      <c r="BE11" s="26" t="n">
        <f aca="false">IF(WEEKDAY(BE$3,2)&gt;5,0,SUMPRODUCT(('Assignment Calc'!$D$5:$D$132=$A11)*('Assignment Calc'!$H$5:$H$132&lt;&gt;"")*('Assignment Calc'!$H$5:$H$132&lt;=BE$3)*('Assignment Calc'!$I$5:$I$132&gt;=BE$3)*'Assignment Calc'!$K$5:$K$132*'Assignment Calc'!$L$5:$L$132*'Assignment Calc'!$M$5:$M$132))</f>
        <v>0</v>
      </c>
      <c r="BF11" s="26" t="n">
        <f aca="false">IF(WEEKDAY(BF$3,2)&gt;5,0,SUMPRODUCT(('Assignment Calc'!$D$5:$D$132=$A11)*('Assignment Calc'!$H$5:$H$132&lt;&gt;"")*('Assignment Calc'!$H$5:$H$132&lt;=BF$3)*('Assignment Calc'!$I$5:$I$132&gt;=BF$3)*'Assignment Calc'!$K$5:$K$132*'Assignment Calc'!$L$5:$L$132*'Assignment Calc'!$M$5:$M$132))</f>
        <v>0</v>
      </c>
      <c r="BG11" s="26" t="n">
        <f aca="false">IF(WEEKDAY(BG$3,2)&gt;5,0,SUMPRODUCT(('Assignment Calc'!$D$5:$D$132=$A11)*('Assignment Calc'!$H$5:$H$132&lt;&gt;"")*('Assignment Calc'!$H$5:$H$132&lt;=BG$3)*('Assignment Calc'!$I$5:$I$132&gt;=BG$3)*'Assignment Calc'!$K$5:$K$132*'Assignment Calc'!$L$5:$L$132*'Assignment Calc'!$M$5:$M$132))</f>
        <v>0</v>
      </c>
      <c r="BH11" s="26" t="n">
        <f aca="false">IF(WEEKDAY(BH$3,2)&gt;5,0,SUMPRODUCT(('Assignment Calc'!$D$5:$D$132=$A11)*('Assignment Calc'!$H$5:$H$132&lt;&gt;"")*('Assignment Calc'!$H$5:$H$132&lt;=BH$3)*('Assignment Calc'!$I$5:$I$132&gt;=BH$3)*'Assignment Calc'!$K$5:$K$132*'Assignment Calc'!$L$5:$L$132*'Assignment Calc'!$M$5:$M$132))</f>
        <v>0</v>
      </c>
      <c r="BI11" s="26" t="n">
        <f aca="false">IF(WEEKDAY(BI$3,2)&gt;5,0,SUMPRODUCT(('Assignment Calc'!$D$5:$D$132=$A11)*('Assignment Calc'!$H$5:$H$132&lt;&gt;"")*('Assignment Calc'!$H$5:$H$132&lt;=BI$3)*('Assignment Calc'!$I$5:$I$132&gt;=BI$3)*'Assignment Calc'!$K$5:$K$132*'Assignment Calc'!$L$5:$L$132*'Assignment Calc'!$M$5:$M$132))</f>
        <v>0</v>
      </c>
      <c r="BJ11" s="26" t="n">
        <f aca="false">IF(WEEKDAY(BJ$3,2)&gt;5,0,SUMPRODUCT(('Assignment Calc'!$D$5:$D$132=$A11)*('Assignment Calc'!$H$5:$H$132&lt;&gt;"")*('Assignment Calc'!$H$5:$H$132&lt;=BJ$3)*('Assignment Calc'!$I$5:$I$132&gt;=BJ$3)*'Assignment Calc'!$K$5:$K$132*'Assignment Calc'!$L$5:$L$132*'Assignment Calc'!$M$5:$M$132))</f>
        <v>0</v>
      </c>
      <c r="BK11" s="26" t="n">
        <f aca="false">IF(WEEKDAY(BK$3,2)&gt;5,0,SUMPRODUCT(('Assignment Calc'!$D$5:$D$132=$A11)*('Assignment Calc'!$H$5:$H$132&lt;&gt;"")*('Assignment Calc'!$H$5:$H$132&lt;=BK$3)*('Assignment Calc'!$I$5:$I$132&gt;=BK$3)*'Assignment Calc'!$K$5:$K$132*'Assignment Calc'!$L$5:$L$132*'Assignment Calc'!$M$5:$M$132))</f>
        <v>9</v>
      </c>
      <c r="BL11" s="26" t="n">
        <f aca="false">IF(WEEKDAY(BL$3,2)&gt;5,0,SUMPRODUCT(('Assignment Calc'!$D$5:$D$132=$A11)*('Assignment Calc'!$H$5:$H$132&lt;&gt;"")*('Assignment Calc'!$H$5:$H$132&lt;=BL$3)*('Assignment Calc'!$I$5:$I$132&gt;=BL$3)*'Assignment Calc'!$K$5:$K$132*'Assignment Calc'!$L$5:$L$132*'Assignment Calc'!$M$5:$M$132))</f>
        <v>9</v>
      </c>
      <c r="BM11" s="26" t="n">
        <f aca="false">IF(WEEKDAY(BM$3,2)&gt;5,0,SUMPRODUCT(('Assignment Calc'!$D$5:$D$132=$A11)*('Assignment Calc'!$H$5:$H$132&lt;&gt;"")*('Assignment Calc'!$H$5:$H$132&lt;=BM$3)*('Assignment Calc'!$I$5:$I$132&gt;=BM$3)*'Assignment Calc'!$K$5:$K$132*'Assignment Calc'!$L$5:$L$132*'Assignment Calc'!$M$5:$M$132))</f>
        <v>9</v>
      </c>
      <c r="BN11" s="26" t="n">
        <f aca="false">IF(WEEKDAY(BN$3,2)&gt;5,0,SUMPRODUCT(('Assignment Calc'!$D$5:$D$132=$A11)*('Assignment Calc'!$H$5:$H$132&lt;&gt;"")*('Assignment Calc'!$H$5:$H$132&lt;=BN$3)*('Assignment Calc'!$I$5:$I$132&gt;=BN$3)*'Assignment Calc'!$K$5:$K$132*'Assignment Calc'!$L$5:$L$132*'Assignment Calc'!$M$5:$M$132))</f>
        <v>9</v>
      </c>
      <c r="BO11" s="26" t="n">
        <f aca="false">IF(WEEKDAY(BO$3,2)&gt;5,0,SUMPRODUCT(('Assignment Calc'!$D$5:$D$132=$A11)*('Assignment Calc'!$H$5:$H$132&lt;&gt;"")*('Assignment Calc'!$H$5:$H$132&lt;=BO$3)*('Assignment Calc'!$I$5:$I$132&gt;=BO$3)*'Assignment Calc'!$K$5:$K$132*'Assignment Calc'!$L$5:$L$132*'Assignment Calc'!$M$5:$M$132))</f>
        <v>9</v>
      </c>
      <c r="BP11" s="26" t="n">
        <f aca="false">IF(WEEKDAY(BP$3,2)&gt;5,0,SUMPRODUCT(('Assignment Calc'!$D$5:$D$132=$A11)*('Assignment Calc'!$H$5:$H$132&lt;&gt;"")*('Assignment Calc'!$H$5:$H$132&lt;=BP$3)*('Assignment Calc'!$I$5:$I$132&gt;=BP$3)*'Assignment Calc'!$K$5:$K$132*'Assignment Calc'!$L$5:$L$132*'Assignment Calc'!$M$5:$M$132))</f>
        <v>0</v>
      </c>
      <c r="BQ11" s="26" t="n">
        <f aca="false">IF(WEEKDAY(BQ$3,2)&gt;5,0,SUMPRODUCT(('Assignment Calc'!$D$5:$D$132=$A11)*('Assignment Calc'!$H$5:$H$132&lt;&gt;"")*('Assignment Calc'!$H$5:$H$132&lt;=BQ$3)*('Assignment Calc'!$I$5:$I$132&gt;=BQ$3)*'Assignment Calc'!$K$5:$K$132*'Assignment Calc'!$L$5:$L$132*'Assignment Calc'!$M$5:$M$132))</f>
        <v>0</v>
      </c>
      <c r="BR11" s="26" t="n">
        <f aca="false">IF(WEEKDAY(BR$3,2)&gt;5,0,SUMPRODUCT(('Assignment Calc'!$D$5:$D$132=$A11)*('Assignment Calc'!$H$5:$H$132&lt;&gt;"")*('Assignment Calc'!$H$5:$H$132&lt;=BR$3)*('Assignment Calc'!$I$5:$I$132&gt;=BR$3)*'Assignment Calc'!$K$5:$K$132*'Assignment Calc'!$L$5:$L$132*'Assignment Calc'!$M$5:$M$132))</f>
        <v>0</v>
      </c>
      <c r="BS11" s="26" t="n">
        <f aca="false">IF(WEEKDAY(BS$3,2)&gt;5,0,SUMPRODUCT(('Assignment Calc'!$D$5:$D$132=$A11)*('Assignment Calc'!$H$5:$H$132&lt;&gt;"")*('Assignment Calc'!$H$5:$H$132&lt;=BS$3)*('Assignment Calc'!$I$5:$I$132&gt;=BS$3)*'Assignment Calc'!$K$5:$K$132*'Assignment Calc'!$L$5:$L$132*'Assignment Calc'!$M$5:$M$132))</f>
        <v>0</v>
      </c>
      <c r="BT11" s="26" t="n">
        <f aca="false">IF(WEEKDAY(BT$3,2)&gt;5,0,SUMPRODUCT(('Assignment Calc'!$D$5:$D$132=$A11)*('Assignment Calc'!$H$5:$H$132&lt;&gt;"")*('Assignment Calc'!$H$5:$H$132&lt;=BT$3)*('Assignment Calc'!$I$5:$I$132&gt;=BT$3)*'Assignment Calc'!$K$5:$K$132*'Assignment Calc'!$L$5:$L$132*'Assignment Calc'!$M$5:$M$132))</f>
        <v>0</v>
      </c>
      <c r="BU11" s="26" t="n">
        <f aca="false">IF(WEEKDAY(BU$3,2)&gt;5,0,SUMPRODUCT(('Assignment Calc'!$D$5:$D$132=$A11)*('Assignment Calc'!$H$5:$H$132&lt;&gt;"")*('Assignment Calc'!$H$5:$H$132&lt;=BU$3)*('Assignment Calc'!$I$5:$I$132&gt;=BU$3)*'Assignment Calc'!$K$5:$K$132*'Assignment Calc'!$L$5:$L$132*'Assignment Calc'!$M$5:$M$132))</f>
        <v>0</v>
      </c>
      <c r="BV11" s="26" t="n">
        <f aca="false">IF(WEEKDAY(BV$3,2)&gt;5,0,SUMPRODUCT(('Assignment Calc'!$D$5:$D$132=$A11)*('Assignment Calc'!$H$5:$H$132&lt;&gt;"")*('Assignment Calc'!$H$5:$H$132&lt;=BV$3)*('Assignment Calc'!$I$5:$I$132&gt;=BV$3)*'Assignment Calc'!$K$5:$K$132*'Assignment Calc'!$L$5:$L$132*'Assignment Calc'!$M$5:$M$132))</f>
        <v>0</v>
      </c>
      <c r="BW11" s="26" t="n">
        <f aca="false">IF(WEEKDAY(BW$3,2)&gt;5,0,SUMPRODUCT(('Assignment Calc'!$D$5:$D$132=$A11)*('Assignment Calc'!$H$5:$H$132&lt;&gt;"")*('Assignment Calc'!$H$5:$H$132&lt;=BW$3)*('Assignment Calc'!$I$5:$I$132&gt;=BW$3)*'Assignment Calc'!$K$5:$K$132*'Assignment Calc'!$L$5:$L$132*'Assignment Calc'!$M$5:$M$132))</f>
        <v>0</v>
      </c>
      <c r="BX11" s="26" t="n">
        <f aca="false">IF(WEEKDAY(BX$3,2)&gt;5,0,SUMPRODUCT(('Assignment Calc'!$D$5:$D$132=$A11)*('Assignment Calc'!$H$5:$H$132&lt;&gt;"")*('Assignment Calc'!$H$5:$H$132&lt;=BX$3)*('Assignment Calc'!$I$5:$I$132&gt;=BX$3)*'Assignment Calc'!$K$5:$K$132*'Assignment Calc'!$L$5:$L$132*'Assignment Calc'!$M$5:$M$132))</f>
        <v>0</v>
      </c>
      <c r="BY11" s="26" t="n">
        <f aca="false">IF(WEEKDAY(BY$3,2)&gt;5,0,SUMPRODUCT(('Assignment Calc'!$D$5:$D$132=$A11)*('Assignment Calc'!$H$5:$H$132&lt;&gt;"")*('Assignment Calc'!$H$5:$H$132&lt;=BY$3)*('Assignment Calc'!$I$5:$I$132&gt;=BY$3)*'Assignment Calc'!$K$5:$K$132*'Assignment Calc'!$L$5:$L$132*'Assignment Calc'!$M$5:$M$132))</f>
        <v>2.25</v>
      </c>
      <c r="BZ11" s="26" t="n">
        <f aca="false">IF(WEEKDAY(BZ$3,2)&gt;5,0,SUMPRODUCT(('Assignment Calc'!$D$5:$D$132=$A11)*('Assignment Calc'!$H$5:$H$132&lt;&gt;"")*('Assignment Calc'!$H$5:$H$132&lt;=BZ$3)*('Assignment Calc'!$I$5:$I$132&gt;=BZ$3)*'Assignment Calc'!$K$5:$K$132*'Assignment Calc'!$L$5:$L$132*'Assignment Calc'!$M$5:$M$132))</f>
        <v>2.25</v>
      </c>
      <c r="CA11" s="26" t="n">
        <f aca="false">IF(WEEKDAY(CA$3,2)&gt;5,0,SUMPRODUCT(('Assignment Calc'!$D$5:$D$132=$A11)*('Assignment Calc'!$H$5:$H$132&lt;&gt;"")*('Assignment Calc'!$H$5:$H$132&lt;=CA$3)*('Assignment Calc'!$I$5:$I$132&gt;=CA$3)*'Assignment Calc'!$K$5:$K$132*'Assignment Calc'!$L$5:$L$132*'Assignment Calc'!$M$5:$M$132))</f>
        <v>2.25</v>
      </c>
      <c r="CB11" s="26" t="n">
        <f aca="false">IF(WEEKDAY(CB$3,2)&gt;5,0,SUMPRODUCT(('Assignment Calc'!$D$5:$D$132=$A11)*('Assignment Calc'!$H$5:$H$132&lt;&gt;"")*('Assignment Calc'!$H$5:$H$132&lt;=CB$3)*('Assignment Calc'!$I$5:$I$132&gt;=CB$3)*'Assignment Calc'!$K$5:$K$132*'Assignment Calc'!$L$5:$L$132*'Assignment Calc'!$M$5:$M$132))</f>
        <v>2.25</v>
      </c>
      <c r="CC11" s="26" t="n">
        <f aca="false">IF(WEEKDAY(CC$3,2)&gt;5,0,SUMPRODUCT(('Assignment Calc'!$D$5:$D$132=$A11)*('Assignment Calc'!$H$5:$H$132&lt;&gt;"")*('Assignment Calc'!$H$5:$H$132&lt;=CC$3)*('Assignment Calc'!$I$5:$I$132&gt;=CC$3)*'Assignment Calc'!$K$5:$K$132*'Assignment Calc'!$L$5:$L$132*'Assignment Calc'!$M$5:$M$132))</f>
        <v>2.25</v>
      </c>
      <c r="CD11" s="26" t="n">
        <f aca="false">IF(WEEKDAY(CD$3,2)&gt;5,0,SUMPRODUCT(('Assignment Calc'!$D$5:$D$132=$A11)*('Assignment Calc'!$H$5:$H$132&lt;&gt;"")*('Assignment Calc'!$H$5:$H$132&lt;=CD$3)*('Assignment Calc'!$I$5:$I$132&gt;=CD$3)*'Assignment Calc'!$K$5:$K$132*'Assignment Calc'!$L$5:$L$132*'Assignment Calc'!$M$5:$M$132))</f>
        <v>0</v>
      </c>
      <c r="CE11" s="26" t="n">
        <f aca="false">IF(WEEKDAY(CE$3,2)&gt;5,0,SUMPRODUCT(('Assignment Calc'!$D$5:$D$132=$A11)*('Assignment Calc'!$H$5:$H$132&lt;&gt;"")*('Assignment Calc'!$H$5:$H$132&lt;=CE$3)*('Assignment Calc'!$I$5:$I$132&gt;=CE$3)*'Assignment Calc'!$K$5:$K$132*'Assignment Calc'!$L$5:$L$132*'Assignment Calc'!$M$5:$M$132))</f>
        <v>0</v>
      </c>
      <c r="CF11" s="26" t="n">
        <f aca="false">IF(WEEKDAY(CF$3,2)&gt;5,0,SUMPRODUCT(('Assignment Calc'!$D$5:$D$132=$A11)*('Assignment Calc'!$H$5:$H$132&lt;&gt;"")*('Assignment Calc'!$H$5:$H$132&lt;=CF$3)*('Assignment Calc'!$I$5:$I$132&gt;=CF$3)*'Assignment Calc'!$K$5:$K$132*'Assignment Calc'!$L$5:$L$132*'Assignment Calc'!$M$5:$M$132))</f>
        <v>0</v>
      </c>
      <c r="CG11" s="26" t="n">
        <f aca="false">IF(WEEKDAY(CG$3,2)&gt;5,0,SUMPRODUCT(('Assignment Calc'!$D$5:$D$132=$A11)*('Assignment Calc'!$H$5:$H$132&lt;&gt;"")*('Assignment Calc'!$H$5:$H$132&lt;=CG$3)*('Assignment Calc'!$I$5:$I$132&gt;=CG$3)*'Assignment Calc'!$K$5:$K$132*'Assignment Calc'!$L$5:$L$132*'Assignment Calc'!$M$5:$M$132))</f>
        <v>0</v>
      </c>
      <c r="CH11" s="26" t="n">
        <f aca="false">IF(WEEKDAY(CH$3,2)&gt;5,0,SUMPRODUCT(('Assignment Calc'!$D$5:$D$132=$A11)*('Assignment Calc'!$H$5:$H$132&lt;&gt;"")*('Assignment Calc'!$H$5:$H$132&lt;=CH$3)*('Assignment Calc'!$I$5:$I$132&gt;=CH$3)*'Assignment Calc'!$K$5:$K$132*'Assignment Calc'!$L$5:$L$132*'Assignment Calc'!$M$5:$M$132))</f>
        <v>0</v>
      </c>
      <c r="CI11" s="26" t="n">
        <f aca="false">IF(WEEKDAY(CI$3,2)&gt;5,0,SUMPRODUCT(('Assignment Calc'!$D$5:$D$132=$A11)*('Assignment Calc'!$H$5:$H$132&lt;&gt;"")*('Assignment Calc'!$H$5:$H$132&lt;=CI$3)*('Assignment Calc'!$I$5:$I$132&gt;=CI$3)*'Assignment Calc'!$K$5:$K$132*'Assignment Calc'!$L$5:$L$132*'Assignment Calc'!$M$5:$M$132))</f>
        <v>0</v>
      </c>
      <c r="CJ11" s="26" t="n">
        <f aca="false">IF(WEEKDAY(CJ$3,2)&gt;5,0,SUMPRODUCT(('Assignment Calc'!$D$5:$D$132=$A11)*('Assignment Calc'!$H$5:$H$132&lt;&gt;"")*('Assignment Calc'!$H$5:$H$132&lt;=CJ$3)*('Assignment Calc'!$I$5:$I$132&gt;=CJ$3)*'Assignment Calc'!$K$5:$K$132*'Assignment Calc'!$L$5:$L$132*'Assignment Calc'!$M$5:$M$132))</f>
        <v>0</v>
      </c>
      <c r="CK11" s="26" t="n">
        <f aca="false">IF(WEEKDAY(CK$3,2)&gt;5,0,SUMPRODUCT(('Assignment Calc'!$D$5:$D$132=$A11)*('Assignment Calc'!$H$5:$H$132&lt;&gt;"")*('Assignment Calc'!$H$5:$H$132&lt;=CK$3)*('Assignment Calc'!$I$5:$I$132&gt;=CK$3)*'Assignment Calc'!$K$5:$K$132*'Assignment Calc'!$L$5:$L$132*'Assignment Calc'!$M$5:$M$132))</f>
        <v>0</v>
      </c>
      <c r="CL11" s="26" t="n">
        <f aca="false">IF(WEEKDAY(CL$3,2)&gt;5,0,SUMPRODUCT(('Assignment Calc'!$D$5:$D$132=$A11)*('Assignment Calc'!$H$5:$H$132&lt;&gt;"")*('Assignment Calc'!$H$5:$H$132&lt;=CL$3)*('Assignment Calc'!$I$5:$I$132&gt;=CL$3)*'Assignment Calc'!$K$5:$K$132*'Assignment Calc'!$L$5:$L$132*'Assignment Calc'!$M$5:$M$132))</f>
        <v>0</v>
      </c>
      <c r="CM11" s="26" t="n">
        <f aca="false">IF(WEEKDAY(CM$3,2)&gt;5,0,SUMPRODUCT(('Assignment Calc'!$D$5:$D$132=$A11)*('Assignment Calc'!$H$5:$H$132&lt;&gt;"")*('Assignment Calc'!$H$5:$H$132&lt;=CM$3)*('Assignment Calc'!$I$5:$I$132&gt;=CM$3)*'Assignment Calc'!$K$5:$K$132*'Assignment Calc'!$L$5:$L$132*'Assignment Calc'!$M$5:$M$132))</f>
        <v>13.5</v>
      </c>
      <c r="CN11" s="26" t="n">
        <f aca="false">IF(WEEKDAY(CN$3,2)&gt;5,0,SUMPRODUCT(('Assignment Calc'!$D$5:$D$132=$A11)*('Assignment Calc'!$H$5:$H$132&lt;&gt;"")*('Assignment Calc'!$H$5:$H$132&lt;=CN$3)*('Assignment Calc'!$I$5:$I$132&gt;=CN$3)*'Assignment Calc'!$K$5:$K$132*'Assignment Calc'!$L$5:$L$132*'Assignment Calc'!$M$5:$M$132))</f>
        <v>13.5</v>
      </c>
      <c r="CO11" s="26" t="n">
        <f aca="false">IF(WEEKDAY(CO$3,2)&gt;5,0,SUMPRODUCT(('Assignment Calc'!$D$5:$D$132=$A11)*('Assignment Calc'!$H$5:$H$132&lt;&gt;"")*('Assignment Calc'!$H$5:$H$132&lt;=CO$3)*('Assignment Calc'!$I$5:$I$132&gt;=CO$3)*'Assignment Calc'!$K$5:$K$132*'Assignment Calc'!$L$5:$L$132*'Assignment Calc'!$M$5:$M$132))</f>
        <v>13.5</v>
      </c>
      <c r="CP11" s="26" t="n">
        <f aca="false">IF(WEEKDAY(CP$3,2)&gt;5,0,SUMPRODUCT(('Assignment Calc'!$D$5:$D$132=$A11)*('Assignment Calc'!$H$5:$H$132&lt;&gt;"")*('Assignment Calc'!$H$5:$H$132&lt;=CP$3)*('Assignment Calc'!$I$5:$I$132&gt;=CP$3)*'Assignment Calc'!$K$5:$K$132*'Assignment Calc'!$L$5:$L$132*'Assignment Calc'!$M$5:$M$132))</f>
        <v>13.5</v>
      </c>
    </row>
    <row r="12" customFormat="false" ht="15" hidden="false" customHeight="true" outlineLevel="0" collapsed="false">
      <c r="A12" s="2" t="s">
        <v>502</v>
      </c>
      <c r="B12" s="23" t="n">
        <f aca="false">SUM(C12:CP12)</f>
        <v>0</v>
      </c>
      <c r="C12" s="26" t="n">
        <f aca="false">IF(WEEKDAY(C$3,2)&gt;5,0,SUMPRODUCT(('Assignment Calc'!$D$5:$D$132=$A12)*('Assignment Calc'!$H$5:$H$132&lt;&gt;"")*('Assignment Calc'!$H$5:$H$132&lt;=C$3)*('Assignment Calc'!$I$5:$I$132&gt;=C$3)*'Assignment Calc'!$K$5:$K$132*'Assignment Calc'!$L$5:$L$132*'Assignment Calc'!$M$5:$M$132))</f>
        <v>0</v>
      </c>
      <c r="D12" s="26" t="n">
        <f aca="false">IF(WEEKDAY(D$3,2)&gt;5,0,SUMPRODUCT(('Assignment Calc'!$D$5:$D$132=$A12)*('Assignment Calc'!$H$5:$H$132&lt;&gt;"")*('Assignment Calc'!$H$5:$H$132&lt;=D$3)*('Assignment Calc'!$I$5:$I$132&gt;=D$3)*'Assignment Calc'!$K$5:$K$132*'Assignment Calc'!$L$5:$L$132*'Assignment Calc'!$M$5:$M$132))</f>
        <v>0</v>
      </c>
      <c r="E12" s="26" t="n">
        <f aca="false">IF(WEEKDAY(E$3,2)&gt;5,0,SUMPRODUCT(('Assignment Calc'!$D$5:$D$132=$A12)*('Assignment Calc'!$H$5:$H$132&lt;&gt;"")*('Assignment Calc'!$H$5:$H$132&lt;=E$3)*('Assignment Calc'!$I$5:$I$132&gt;=E$3)*'Assignment Calc'!$K$5:$K$132*'Assignment Calc'!$L$5:$L$132*'Assignment Calc'!$M$5:$M$132))</f>
        <v>0</v>
      </c>
      <c r="F12" s="26" t="n">
        <f aca="false">IF(WEEKDAY(F$3,2)&gt;5,0,SUMPRODUCT(('Assignment Calc'!$D$5:$D$132=$A12)*('Assignment Calc'!$H$5:$H$132&lt;&gt;"")*('Assignment Calc'!$H$5:$H$132&lt;=F$3)*('Assignment Calc'!$I$5:$I$132&gt;=F$3)*'Assignment Calc'!$K$5:$K$132*'Assignment Calc'!$L$5:$L$132*'Assignment Calc'!$M$5:$M$132))</f>
        <v>0</v>
      </c>
      <c r="G12" s="26" t="n">
        <f aca="false">IF(WEEKDAY(G$3,2)&gt;5,0,SUMPRODUCT(('Assignment Calc'!$D$5:$D$132=$A12)*('Assignment Calc'!$H$5:$H$132&lt;&gt;"")*('Assignment Calc'!$H$5:$H$132&lt;=G$3)*('Assignment Calc'!$I$5:$I$132&gt;=G$3)*'Assignment Calc'!$K$5:$K$132*'Assignment Calc'!$L$5:$L$132*'Assignment Calc'!$M$5:$M$132))</f>
        <v>0</v>
      </c>
      <c r="H12" s="26" t="n">
        <f aca="false">IF(WEEKDAY(H$3,2)&gt;5,0,SUMPRODUCT(('Assignment Calc'!$D$5:$D$132=$A12)*('Assignment Calc'!$H$5:$H$132&lt;&gt;"")*('Assignment Calc'!$H$5:$H$132&lt;=H$3)*('Assignment Calc'!$I$5:$I$132&gt;=H$3)*'Assignment Calc'!$K$5:$K$132*'Assignment Calc'!$L$5:$L$132*'Assignment Calc'!$M$5:$M$132))</f>
        <v>0</v>
      </c>
      <c r="I12" s="26" t="n">
        <f aca="false">IF(WEEKDAY(I$3,2)&gt;5,0,SUMPRODUCT(('Assignment Calc'!$D$5:$D$132=$A12)*('Assignment Calc'!$H$5:$H$132&lt;&gt;"")*('Assignment Calc'!$H$5:$H$132&lt;=I$3)*('Assignment Calc'!$I$5:$I$132&gt;=I$3)*'Assignment Calc'!$K$5:$K$132*'Assignment Calc'!$L$5:$L$132*'Assignment Calc'!$M$5:$M$132))</f>
        <v>0</v>
      </c>
      <c r="J12" s="26" t="n">
        <f aca="false">IF(WEEKDAY(J$3,2)&gt;5,0,SUMPRODUCT(('Assignment Calc'!$D$5:$D$132=$A12)*('Assignment Calc'!$H$5:$H$132&lt;&gt;"")*('Assignment Calc'!$H$5:$H$132&lt;=J$3)*('Assignment Calc'!$I$5:$I$132&gt;=J$3)*'Assignment Calc'!$K$5:$K$132*'Assignment Calc'!$L$5:$L$132*'Assignment Calc'!$M$5:$M$132))</f>
        <v>0</v>
      </c>
      <c r="K12" s="26" t="n">
        <f aca="false">IF(WEEKDAY(K$3,2)&gt;5,0,SUMPRODUCT(('Assignment Calc'!$D$5:$D$132=$A12)*('Assignment Calc'!$H$5:$H$132&lt;&gt;"")*('Assignment Calc'!$H$5:$H$132&lt;=K$3)*('Assignment Calc'!$I$5:$I$132&gt;=K$3)*'Assignment Calc'!$K$5:$K$132*'Assignment Calc'!$L$5:$L$132*'Assignment Calc'!$M$5:$M$132))</f>
        <v>0</v>
      </c>
      <c r="L12" s="26" t="n">
        <f aca="false">IF(WEEKDAY(L$3,2)&gt;5,0,SUMPRODUCT(('Assignment Calc'!$D$5:$D$132=$A12)*('Assignment Calc'!$H$5:$H$132&lt;&gt;"")*('Assignment Calc'!$H$5:$H$132&lt;=L$3)*('Assignment Calc'!$I$5:$I$132&gt;=L$3)*'Assignment Calc'!$K$5:$K$132*'Assignment Calc'!$L$5:$L$132*'Assignment Calc'!$M$5:$M$132))</f>
        <v>0</v>
      </c>
      <c r="M12" s="26" t="n">
        <f aca="false">IF(WEEKDAY(M$3,2)&gt;5,0,SUMPRODUCT(('Assignment Calc'!$D$5:$D$132=$A12)*('Assignment Calc'!$H$5:$H$132&lt;&gt;"")*('Assignment Calc'!$H$5:$H$132&lt;=M$3)*('Assignment Calc'!$I$5:$I$132&gt;=M$3)*'Assignment Calc'!$K$5:$K$132*'Assignment Calc'!$L$5:$L$132*'Assignment Calc'!$M$5:$M$132))</f>
        <v>0</v>
      </c>
      <c r="N12" s="26" t="n">
        <f aca="false">IF(WEEKDAY(N$3,2)&gt;5,0,SUMPRODUCT(('Assignment Calc'!$D$5:$D$132=$A12)*('Assignment Calc'!$H$5:$H$132&lt;&gt;"")*('Assignment Calc'!$H$5:$H$132&lt;=N$3)*('Assignment Calc'!$I$5:$I$132&gt;=N$3)*'Assignment Calc'!$K$5:$K$132*'Assignment Calc'!$L$5:$L$132*'Assignment Calc'!$M$5:$M$132))</f>
        <v>0</v>
      </c>
      <c r="O12" s="26" t="n">
        <f aca="false">IF(WEEKDAY(O$3,2)&gt;5,0,SUMPRODUCT(('Assignment Calc'!$D$5:$D$132=$A12)*('Assignment Calc'!$H$5:$H$132&lt;&gt;"")*('Assignment Calc'!$H$5:$H$132&lt;=O$3)*('Assignment Calc'!$I$5:$I$132&gt;=O$3)*'Assignment Calc'!$K$5:$K$132*'Assignment Calc'!$L$5:$L$132*'Assignment Calc'!$M$5:$M$132))</f>
        <v>0</v>
      </c>
      <c r="P12" s="26" t="n">
        <f aca="false">IF(WEEKDAY(P$3,2)&gt;5,0,SUMPRODUCT(('Assignment Calc'!$D$5:$D$132=$A12)*('Assignment Calc'!$H$5:$H$132&lt;&gt;"")*('Assignment Calc'!$H$5:$H$132&lt;=P$3)*('Assignment Calc'!$I$5:$I$132&gt;=P$3)*'Assignment Calc'!$K$5:$K$132*'Assignment Calc'!$L$5:$L$132*'Assignment Calc'!$M$5:$M$132))</f>
        <v>0</v>
      </c>
      <c r="Q12" s="26" t="n">
        <f aca="false">IF(WEEKDAY(Q$3,2)&gt;5,0,SUMPRODUCT(('Assignment Calc'!$D$5:$D$132=$A12)*('Assignment Calc'!$H$5:$H$132&lt;&gt;"")*('Assignment Calc'!$H$5:$H$132&lt;=Q$3)*('Assignment Calc'!$I$5:$I$132&gt;=Q$3)*'Assignment Calc'!$K$5:$K$132*'Assignment Calc'!$L$5:$L$132*'Assignment Calc'!$M$5:$M$132))</f>
        <v>0</v>
      </c>
      <c r="R12" s="26" t="n">
        <f aca="false">IF(WEEKDAY(R$3,2)&gt;5,0,SUMPRODUCT(('Assignment Calc'!$D$5:$D$132=$A12)*('Assignment Calc'!$H$5:$H$132&lt;&gt;"")*('Assignment Calc'!$H$5:$H$132&lt;=R$3)*('Assignment Calc'!$I$5:$I$132&gt;=R$3)*'Assignment Calc'!$K$5:$K$132*'Assignment Calc'!$L$5:$L$132*'Assignment Calc'!$M$5:$M$132))</f>
        <v>0</v>
      </c>
      <c r="S12" s="26" t="n">
        <f aca="false">IF(WEEKDAY(S$3,2)&gt;5,0,SUMPRODUCT(('Assignment Calc'!$D$5:$D$132=$A12)*('Assignment Calc'!$H$5:$H$132&lt;&gt;"")*('Assignment Calc'!$H$5:$H$132&lt;=S$3)*('Assignment Calc'!$I$5:$I$132&gt;=S$3)*'Assignment Calc'!$K$5:$K$132*'Assignment Calc'!$L$5:$L$132*'Assignment Calc'!$M$5:$M$132))</f>
        <v>0</v>
      </c>
      <c r="T12" s="26" t="n">
        <f aca="false">IF(WEEKDAY(T$3,2)&gt;5,0,SUMPRODUCT(('Assignment Calc'!$D$5:$D$132=$A12)*('Assignment Calc'!$H$5:$H$132&lt;&gt;"")*('Assignment Calc'!$H$5:$H$132&lt;=T$3)*('Assignment Calc'!$I$5:$I$132&gt;=T$3)*'Assignment Calc'!$K$5:$K$132*'Assignment Calc'!$L$5:$L$132*'Assignment Calc'!$M$5:$M$132))</f>
        <v>0</v>
      </c>
      <c r="U12" s="26" t="n">
        <f aca="false">IF(WEEKDAY(U$3,2)&gt;5,0,SUMPRODUCT(('Assignment Calc'!$D$5:$D$132=$A12)*('Assignment Calc'!$H$5:$H$132&lt;&gt;"")*('Assignment Calc'!$H$5:$H$132&lt;=U$3)*('Assignment Calc'!$I$5:$I$132&gt;=U$3)*'Assignment Calc'!$K$5:$K$132*'Assignment Calc'!$L$5:$L$132*'Assignment Calc'!$M$5:$M$132))</f>
        <v>0</v>
      </c>
      <c r="V12" s="26" t="n">
        <f aca="false">IF(WEEKDAY(V$3,2)&gt;5,0,SUMPRODUCT(('Assignment Calc'!$D$5:$D$132=$A12)*('Assignment Calc'!$H$5:$H$132&lt;&gt;"")*('Assignment Calc'!$H$5:$H$132&lt;=V$3)*('Assignment Calc'!$I$5:$I$132&gt;=V$3)*'Assignment Calc'!$K$5:$K$132*'Assignment Calc'!$L$5:$L$132*'Assignment Calc'!$M$5:$M$132))</f>
        <v>0</v>
      </c>
      <c r="W12" s="26" t="n">
        <f aca="false">IF(WEEKDAY(W$3,2)&gt;5,0,SUMPRODUCT(('Assignment Calc'!$D$5:$D$132=$A12)*('Assignment Calc'!$H$5:$H$132&lt;&gt;"")*('Assignment Calc'!$H$5:$H$132&lt;=W$3)*('Assignment Calc'!$I$5:$I$132&gt;=W$3)*'Assignment Calc'!$K$5:$K$132*'Assignment Calc'!$L$5:$L$132*'Assignment Calc'!$M$5:$M$132))</f>
        <v>0</v>
      </c>
      <c r="X12" s="26" t="n">
        <f aca="false">IF(WEEKDAY(X$3,2)&gt;5,0,SUMPRODUCT(('Assignment Calc'!$D$5:$D$132=$A12)*('Assignment Calc'!$H$5:$H$132&lt;&gt;"")*('Assignment Calc'!$H$5:$H$132&lt;=X$3)*('Assignment Calc'!$I$5:$I$132&gt;=X$3)*'Assignment Calc'!$K$5:$K$132*'Assignment Calc'!$L$5:$L$132*'Assignment Calc'!$M$5:$M$132))</f>
        <v>0</v>
      </c>
      <c r="Y12" s="26" t="n">
        <f aca="false">IF(WEEKDAY(Y$3,2)&gt;5,0,SUMPRODUCT(('Assignment Calc'!$D$5:$D$132=$A12)*('Assignment Calc'!$H$5:$H$132&lt;&gt;"")*('Assignment Calc'!$H$5:$H$132&lt;=Y$3)*('Assignment Calc'!$I$5:$I$132&gt;=Y$3)*'Assignment Calc'!$K$5:$K$132*'Assignment Calc'!$L$5:$L$132*'Assignment Calc'!$M$5:$M$132))</f>
        <v>0</v>
      </c>
      <c r="Z12" s="26" t="n">
        <f aca="false">IF(WEEKDAY(Z$3,2)&gt;5,0,SUMPRODUCT(('Assignment Calc'!$D$5:$D$132=$A12)*('Assignment Calc'!$H$5:$H$132&lt;&gt;"")*('Assignment Calc'!$H$5:$H$132&lt;=Z$3)*('Assignment Calc'!$I$5:$I$132&gt;=Z$3)*'Assignment Calc'!$K$5:$K$132*'Assignment Calc'!$L$5:$L$132*'Assignment Calc'!$M$5:$M$132))</f>
        <v>0</v>
      </c>
      <c r="AA12" s="26" t="n">
        <f aca="false">IF(WEEKDAY(AA$3,2)&gt;5,0,SUMPRODUCT(('Assignment Calc'!$D$5:$D$132=$A12)*('Assignment Calc'!$H$5:$H$132&lt;&gt;"")*('Assignment Calc'!$H$5:$H$132&lt;=AA$3)*('Assignment Calc'!$I$5:$I$132&gt;=AA$3)*'Assignment Calc'!$K$5:$K$132*'Assignment Calc'!$L$5:$L$132*'Assignment Calc'!$M$5:$M$132))</f>
        <v>0</v>
      </c>
      <c r="AB12" s="26" t="n">
        <f aca="false">IF(WEEKDAY(AB$3,2)&gt;5,0,SUMPRODUCT(('Assignment Calc'!$D$5:$D$132=$A12)*('Assignment Calc'!$H$5:$H$132&lt;&gt;"")*('Assignment Calc'!$H$5:$H$132&lt;=AB$3)*('Assignment Calc'!$I$5:$I$132&gt;=AB$3)*'Assignment Calc'!$K$5:$K$132*'Assignment Calc'!$L$5:$L$132*'Assignment Calc'!$M$5:$M$132))</f>
        <v>0</v>
      </c>
      <c r="AC12" s="26" t="n">
        <f aca="false">IF(WEEKDAY(AC$3,2)&gt;5,0,SUMPRODUCT(('Assignment Calc'!$D$5:$D$132=$A12)*('Assignment Calc'!$H$5:$H$132&lt;&gt;"")*('Assignment Calc'!$H$5:$H$132&lt;=AC$3)*('Assignment Calc'!$I$5:$I$132&gt;=AC$3)*'Assignment Calc'!$K$5:$K$132*'Assignment Calc'!$L$5:$L$132*'Assignment Calc'!$M$5:$M$132))</f>
        <v>0</v>
      </c>
      <c r="AD12" s="26" t="n">
        <f aca="false">IF(WEEKDAY(AD$3,2)&gt;5,0,SUMPRODUCT(('Assignment Calc'!$D$5:$D$132=$A12)*('Assignment Calc'!$H$5:$H$132&lt;&gt;"")*('Assignment Calc'!$H$5:$H$132&lt;=AD$3)*('Assignment Calc'!$I$5:$I$132&gt;=AD$3)*'Assignment Calc'!$K$5:$K$132*'Assignment Calc'!$L$5:$L$132*'Assignment Calc'!$M$5:$M$132))</f>
        <v>0</v>
      </c>
      <c r="AE12" s="26" t="n">
        <f aca="false">IF(WEEKDAY(AE$3,2)&gt;5,0,SUMPRODUCT(('Assignment Calc'!$D$5:$D$132=$A12)*('Assignment Calc'!$H$5:$H$132&lt;&gt;"")*('Assignment Calc'!$H$5:$H$132&lt;=AE$3)*('Assignment Calc'!$I$5:$I$132&gt;=AE$3)*'Assignment Calc'!$K$5:$K$132*'Assignment Calc'!$L$5:$L$132*'Assignment Calc'!$M$5:$M$132))</f>
        <v>0</v>
      </c>
      <c r="AF12" s="26" t="n">
        <f aca="false">IF(WEEKDAY(AF$3,2)&gt;5,0,SUMPRODUCT(('Assignment Calc'!$D$5:$D$132=$A12)*('Assignment Calc'!$H$5:$H$132&lt;&gt;"")*('Assignment Calc'!$H$5:$H$132&lt;=AF$3)*('Assignment Calc'!$I$5:$I$132&gt;=AF$3)*'Assignment Calc'!$K$5:$K$132*'Assignment Calc'!$L$5:$L$132*'Assignment Calc'!$M$5:$M$132))</f>
        <v>0</v>
      </c>
      <c r="AG12" s="26" t="n">
        <f aca="false">IF(WEEKDAY(AG$3,2)&gt;5,0,SUMPRODUCT(('Assignment Calc'!$D$5:$D$132=$A12)*('Assignment Calc'!$H$5:$H$132&lt;&gt;"")*('Assignment Calc'!$H$5:$H$132&lt;=AG$3)*('Assignment Calc'!$I$5:$I$132&gt;=AG$3)*'Assignment Calc'!$K$5:$K$132*'Assignment Calc'!$L$5:$L$132*'Assignment Calc'!$M$5:$M$132))</f>
        <v>0</v>
      </c>
      <c r="AH12" s="26" t="n">
        <f aca="false">IF(WEEKDAY(AH$3,2)&gt;5,0,SUMPRODUCT(('Assignment Calc'!$D$5:$D$132=$A12)*('Assignment Calc'!$H$5:$H$132&lt;&gt;"")*('Assignment Calc'!$H$5:$H$132&lt;=AH$3)*('Assignment Calc'!$I$5:$I$132&gt;=AH$3)*'Assignment Calc'!$K$5:$K$132*'Assignment Calc'!$L$5:$L$132*'Assignment Calc'!$M$5:$M$132))</f>
        <v>0</v>
      </c>
      <c r="AI12" s="26" t="n">
        <f aca="false">IF(WEEKDAY(AI$3,2)&gt;5,0,SUMPRODUCT(('Assignment Calc'!$D$5:$D$132=$A12)*('Assignment Calc'!$H$5:$H$132&lt;&gt;"")*('Assignment Calc'!$H$5:$H$132&lt;=AI$3)*('Assignment Calc'!$I$5:$I$132&gt;=AI$3)*'Assignment Calc'!$K$5:$K$132*'Assignment Calc'!$L$5:$L$132*'Assignment Calc'!$M$5:$M$132))</f>
        <v>0</v>
      </c>
      <c r="AJ12" s="26" t="n">
        <f aca="false">IF(WEEKDAY(AJ$3,2)&gt;5,0,SUMPRODUCT(('Assignment Calc'!$D$5:$D$132=$A12)*('Assignment Calc'!$H$5:$H$132&lt;&gt;"")*('Assignment Calc'!$H$5:$H$132&lt;=AJ$3)*('Assignment Calc'!$I$5:$I$132&gt;=AJ$3)*'Assignment Calc'!$K$5:$K$132*'Assignment Calc'!$L$5:$L$132*'Assignment Calc'!$M$5:$M$132))</f>
        <v>0</v>
      </c>
      <c r="AK12" s="26" t="n">
        <f aca="false">IF(WEEKDAY(AK$3,2)&gt;5,0,SUMPRODUCT(('Assignment Calc'!$D$5:$D$132=$A12)*('Assignment Calc'!$H$5:$H$132&lt;&gt;"")*('Assignment Calc'!$H$5:$H$132&lt;=AK$3)*('Assignment Calc'!$I$5:$I$132&gt;=AK$3)*'Assignment Calc'!$K$5:$K$132*'Assignment Calc'!$L$5:$L$132*'Assignment Calc'!$M$5:$M$132))</f>
        <v>0</v>
      </c>
      <c r="AL12" s="26" t="n">
        <f aca="false">IF(WEEKDAY(AL$3,2)&gt;5,0,SUMPRODUCT(('Assignment Calc'!$D$5:$D$132=$A12)*('Assignment Calc'!$H$5:$H$132&lt;&gt;"")*('Assignment Calc'!$H$5:$H$132&lt;=AL$3)*('Assignment Calc'!$I$5:$I$132&gt;=AL$3)*'Assignment Calc'!$K$5:$K$132*'Assignment Calc'!$L$5:$L$132*'Assignment Calc'!$M$5:$M$132))</f>
        <v>0</v>
      </c>
      <c r="AM12" s="26" t="n">
        <f aca="false">IF(WEEKDAY(AM$3,2)&gt;5,0,SUMPRODUCT(('Assignment Calc'!$D$5:$D$132=$A12)*('Assignment Calc'!$H$5:$H$132&lt;&gt;"")*('Assignment Calc'!$H$5:$H$132&lt;=AM$3)*('Assignment Calc'!$I$5:$I$132&gt;=AM$3)*'Assignment Calc'!$K$5:$K$132*'Assignment Calc'!$L$5:$L$132*'Assignment Calc'!$M$5:$M$132))</f>
        <v>0</v>
      </c>
      <c r="AN12" s="26" t="n">
        <f aca="false">IF(WEEKDAY(AN$3,2)&gt;5,0,SUMPRODUCT(('Assignment Calc'!$D$5:$D$132=$A12)*('Assignment Calc'!$H$5:$H$132&lt;&gt;"")*('Assignment Calc'!$H$5:$H$132&lt;=AN$3)*('Assignment Calc'!$I$5:$I$132&gt;=AN$3)*'Assignment Calc'!$K$5:$K$132*'Assignment Calc'!$L$5:$L$132*'Assignment Calc'!$M$5:$M$132))</f>
        <v>0</v>
      </c>
      <c r="AO12" s="26" t="n">
        <f aca="false">IF(WEEKDAY(AO$3,2)&gt;5,0,SUMPRODUCT(('Assignment Calc'!$D$5:$D$132=$A12)*('Assignment Calc'!$H$5:$H$132&lt;&gt;"")*('Assignment Calc'!$H$5:$H$132&lt;=AO$3)*('Assignment Calc'!$I$5:$I$132&gt;=AO$3)*'Assignment Calc'!$K$5:$K$132*'Assignment Calc'!$L$5:$L$132*'Assignment Calc'!$M$5:$M$132))</f>
        <v>0</v>
      </c>
      <c r="AP12" s="26" t="n">
        <f aca="false">IF(WEEKDAY(AP$3,2)&gt;5,0,SUMPRODUCT(('Assignment Calc'!$D$5:$D$132=$A12)*('Assignment Calc'!$H$5:$H$132&lt;&gt;"")*('Assignment Calc'!$H$5:$H$132&lt;=AP$3)*('Assignment Calc'!$I$5:$I$132&gt;=AP$3)*'Assignment Calc'!$K$5:$K$132*'Assignment Calc'!$L$5:$L$132*'Assignment Calc'!$M$5:$M$132))</f>
        <v>0</v>
      </c>
      <c r="AQ12" s="26" t="n">
        <f aca="false">IF(WEEKDAY(AQ$3,2)&gt;5,0,SUMPRODUCT(('Assignment Calc'!$D$5:$D$132=$A12)*('Assignment Calc'!$H$5:$H$132&lt;&gt;"")*('Assignment Calc'!$H$5:$H$132&lt;=AQ$3)*('Assignment Calc'!$I$5:$I$132&gt;=AQ$3)*'Assignment Calc'!$K$5:$K$132*'Assignment Calc'!$L$5:$L$132*'Assignment Calc'!$M$5:$M$132))</f>
        <v>0</v>
      </c>
      <c r="AR12" s="26" t="n">
        <f aca="false">IF(WEEKDAY(AR$3,2)&gt;5,0,SUMPRODUCT(('Assignment Calc'!$D$5:$D$132=$A12)*('Assignment Calc'!$H$5:$H$132&lt;&gt;"")*('Assignment Calc'!$H$5:$H$132&lt;=AR$3)*('Assignment Calc'!$I$5:$I$132&gt;=AR$3)*'Assignment Calc'!$K$5:$K$132*'Assignment Calc'!$L$5:$L$132*'Assignment Calc'!$M$5:$M$132))</f>
        <v>0</v>
      </c>
      <c r="AS12" s="26" t="n">
        <f aca="false">IF(WEEKDAY(AS$3,2)&gt;5,0,SUMPRODUCT(('Assignment Calc'!$D$5:$D$132=$A12)*('Assignment Calc'!$H$5:$H$132&lt;&gt;"")*('Assignment Calc'!$H$5:$H$132&lt;=AS$3)*('Assignment Calc'!$I$5:$I$132&gt;=AS$3)*'Assignment Calc'!$K$5:$K$132*'Assignment Calc'!$L$5:$L$132*'Assignment Calc'!$M$5:$M$132))</f>
        <v>0</v>
      </c>
      <c r="AT12" s="26" t="n">
        <f aca="false">IF(WEEKDAY(AT$3,2)&gt;5,0,SUMPRODUCT(('Assignment Calc'!$D$5:$D$132=$A12)*('Assignment Calc'!$H$5:$H$132&lt;&gt;"")*('Assignment Calc'!$H$5:$H$132&lt;=AT$3)*('Assignment Calc'!$I$5:$I$132&gt;=AT$3)*'Assignment Calc'!$K$5:$K$132*'Assignment Calc'!$L$5:$L$132*'Assignment Calc'!$M$5:$M$132))</f>
        <v>0</v>
      </c>
      <c r="AU12" s="26" t="n">
        <f aca="false">IF(WEEKDAY(AU$3,2)&gt;5,0,SUMPRODUCT(('Assignment Calc'!$D$5:$D$132=$A12)*('Assignment Calc'!$H$5:$H$132&lt;&gt;"")*('Assignment Calc'!$H$5:$H$132&lt;=AU$3)*('Assignment Calc'!$I$5:$I$132&gt;=AU$3)*'Assignment Calc'!$K$5:$K$132*'Assignment Calc'!$L$5:$L$132*'Assignment Calc'!$M$5:$M$132))</f>
        <v>0</v>
      </c>
      <c r="AV12" s="26" t="n">
        <f aca="false">IF(WEEKDAY(AV$3,2)&gt;5,0,SUMPRODUCT(('Assignment Calc'!$D$5:$D$132=$A12)*('Assignment Calc'!$H$5:$H$132&lt;&gt;"")*('Assignment Calc'!$H$5:$H$132&lt;=AV$3)*('Assignment Calc'!$I$5:$I$132&gt;=AV$3)*'Assignment Calc'!$K$5:$K$132*'Assignment Calc'!$L$5:$L$132*'Assignment Calc'!$M$5:$M$132))</f>
        <v>0</v>
      </c>
      <c r="AW12" s="26" t="n">
        <f aca="false">IF(WEEKDAY(AW$3,2)&gt;5,0,SUMPRODUCT(('Assignment Calc'!$D$5:$D$132=$A12)*('Assignment Calc'!$H$5:$H$132&lt;&gt;"")*('Assignment Calc'!$H$5:$H$132&lt;=AW$3)*('Assignment Calc'!$I$5:$I$132&gt;=AW$3)*'Assignment Calc'!$K$5:$K$132*'Assignment Calc'!$L$5:$L$132*'Assignment Calc'!$M$5:$M$132))</f>
        <v>0</v>
      </c>
      <c r="AX12" s="26" t="n">
        <f aca="false">IF(WEEKDAY(AX$3,2)&gt;5,0,SUMPRODUCT(('Assignment Calc'!$D$5:$D$132=$A12)*('Assignment Calc'!$H$5:$H$132&lt;&gt;"")*('Assignment Calc'!$H$5:$H$132&lt;=AX$3)*('Assignment Calc'!$I$5:$I$132&gt;=AX$3)*'Assignment Calc'!$K$5:$K$132*'Assignment Calc'!$L$5:$L$132*'Assignment Calc'!$M$5:$M$132))</f>
        <v>0</v>
      </c>
      <c r="AY12" s="26" t="n">
        <f aca="false">IF(WEEKDAY(AY$3,2)&gt;5,0,SUMPRODUCT(('Assignment Calc'!$D$5:$D$132=$A12)*('Assignment Calc'!$H$5:$H$132&lt;&gt;"")*('Assignment Calc'!$H$5:$H$132&lt;=AY$3)*('Assignment Calc'!$I$5:$I$132&gt;=AY$3)*'Assignment Calc'!$K$5:$K$132*'Assignment Calc'!$L$5:$L$132*'Assignment Calc'!$M$5:$M$132))</f>
        <v>0</v>
      </c>
      <c r="AZ12" s="26" t="n">
        <f aca="false">IF(WEEKDAY(AZ$3,2)&gt;5,0,SUMPRODUCT(('Assignment Calc'!$D$5:$D$132=$A12)*('Assignment Calc'!$H$5:$H$132&lt;&gt;"")*('Assignment Calc'!$H$5:$H$132&lt;=AZ$3)*('Assignment Calc'!$I$5:$I$132&gt;=AZ$3)*'Assignment Calc'!$K$5:$K$132*'Assignment Calc'!$L$5:$L$132*'Assignment Calc'!$M$5:$M$132))</f>
        <v>0</v>
      </c>
      <c r="BA12" s="26" t="n">
        <f aca="false">IF(WEEKDAY(BA$3,2)&gt;5,0,SUMPRODUCT(('Assignment Calc'!$D$5:$D$132=$A12)*('Assignment Calc'!$H$5:$H$132&lt;&gt;"")*('Assignment Calc'!$H$5:$H$132&lt;=BA$3)*('Assignment Calc'!$I$5:$I$132&gt;=BA$3)*'Assignment Calc'!$K$5:$K$132*'Assignment Calc'!$L$5:$L$132*'Assignment Calc'!$M$5:$M$132))</f>
        <v>0</v>
      </c>
      <c r="BB12" s="26" t="n">
        <f aca="false">IF(WEEKDAY(BB$3,2)&gt;5,0,SUMPRODUCT(('Assignment Calc'!$D$5:$D$132=$A12)*('Assignment Calc'!$H$5:$H$132&lt;&gt;"")*('Assignment Calc'!$H$5:$H$132&lt;=BB$3)*('Assignment Calc'!$I$5:$I$132&gt;=BB$3)*'Assignment Calc'!$K$5:$K$132*'Assignment Calc'!$L$5:$L$132*'Assignment Calc'!$M$5:$M$132))</f>
        <v>0</v>
      </c>
      <c r="BC12" s="26" t="n">
        <f aca="false">IF(WEEKDAY(BC$3,2)&gt;5,0,SUMPRODUCT(('Assignment Calc'!$D$5:$D$132=$A12)*('Assignment Calc'!$H$5:$H$132&lt;&gt;"")*('Assignment Calc'!$H$5:$H$132&lt;=BC$3)*('Assignment Calc'!$I$5:$I$132&gt;=BC$3)*'Assignment Calc'!$K$5:$K$132*'Assignment Calc'!$L$5:$L$132*'Assignment Calc'!$M$5:$M$132))</f>
        <v>0</v>
      </c>
      <c r="BD12" s="26" t="n">
        <f aca="false">IF(WEEKDAY(BD$3,2)&gt;5,0,SUMPRODUCT(('Assignment Calc'!$D$5:$D$132=$A12)*('Assignment Calc'!$H$5:$H$132&lt;&gt;"")*('Assignment Calc'!$H$5:$H$132&lt;=BD$3)*('Assignment Calc'!$I$5:$I$132&gt;=BD$3)*'Assignment Calc'!$K$5:$K$132*'Assignment Calc'!$L$5:$L$132*'Assignment Calc'!$M$5:$M$132))</f>
        <v>0</v>
      </c>
      <c r="BE12" s="26" t="n">
        <f aca="false">IF(WEEKDAY(BE$3,2)&gt;5,0,SUMPRODUCT(('Assignment Calc'!$D$5:$D$132=$A12)*('Assignment Calc'!$H$5:$H$132&lt;&gt;"")*('Assignment Calc'!$H$5:$H$132&lt;=BE$3)*('Assignment Calc'!$I$5:$I$132&gt;=BE$3)*'Assignment Calc'!$K$5:$K$132*'Assignment Calc'!$L$5:$L$132*'Assignment Calc'!$M$5:$M$132))</f>
        <v>0</v>
      </c>
      <c r="BF12" s="26" t="n">
        <f aca="false">IF(WEEKDAY(BF$3,2)&gt;5,0,SUMPRODUCT(('Assignment Calc'!$D$5:$D$132=$A12)*('Assignment Calc'!$H$5:$H$132&lt;&gt;"")*('Assignment Calc'!$H$5:$H$132&lt;=BF$3)*('Assignment Calc'!$I$5:$I$132&gt;=BF$3)*'Assignment Calc'!$K$5:$K$132*'Assignment Calc'!$L$5:$L$132*'Assignment Calc'!$M$5:$M$132))</f>
        <v>0</v>
      </c>
      <c r="BG12" s="26" t="n">
        <f aca="false">IF(WEEKDAY(BG$3,2)&gt;5,0,SUMPRODUCT(('Assignment Calc'!$D$5:$D$132=$A12)*('Assignment Calc'!$H$5:$H$132&lt;&gt;"")*('Assignment Calc'!$H$5:$H$132&lt;=BG$3)*('Assignment Calc'!$I$5:$I$132&gt;=BG$3)*'Assignment Calc'!$K$5:$K$132*'Assignment Calc'!$L$5:$L$132*'Assignment Calc'!$M$5:$M$132))</f>
        <v>0</v>
      </c>
      <c r="BH12" s="26" t="n">
        <f aca="false">IF(WEEKDAY(BH$3,2)&gt;5,0,SUMPRODUCT(('Assignment Calc'!$D$5:$D$132=$A12)*('Assignment Calc'!$H$5:$H$132&lt;&gt;"")*('Assignment Calc'!$H$5:$H$132&lt;=BH$3)*('Assignment Calc'!$I$5:$I$132&gt;=BH$3)*'Assignment Calc'!$K$5:$K$132*'Assignment Calc'!$L$5:$L$132*'Assignment Calc'!$M$5:$M$132))</f>
        <v>0</v>
      </c>
      <c r="BI12" s="26" t="n">
        <f aca="false">IF(WEEKDAY(BI$3,2)&gt;5,0,SUMPRODUCT(('Assignment Calc'!$D$5:$D$132=$A12)*('Assignment Calc'!$H$5:$H$132&lt;&gt;"")*('Assignment Calc'!$H$5:$H$132&lt;=BI$3)*('Assignment Calc'!$I$5:$I$132&gt;=BI$3)*'Assignment Calc'!$K$5:$K$132*'Assignment Calc'!$L$5:$L$132*'Assignment Calc'!$M$5:$M$132))</f>
        <v>0</v>
      </c>
      <c r="BJ12" s="26" t="n">
        <f aca="false">IF(WEEKDAY(BJ$3,2)&gt;5,0,SUMPRODUCT(('Assignment Calc'!$D$5:$D$132=$A12)*('Assignment Calc'!$H$5:$H$132&lt;&gt;"")*('Assignment Calc'!$H$5:$H$132&lt;=BJ$3)*('Assignment Calc'!$I$5:$I$132&gt;=BJ$3)*'Assignment Calc'!$K$5:$K$132*'Assignment Calc'!$L$5:$L$132*'Assignment Calc'!$M$5:$M$132))</f>
        <v>0</v>
      </c>
      <c r="BK12" s="26" t="n">
        <f aca="false">IF(WEEKDAY(BK$3,2)&gt;5,0,SUMPRODUCT(('Assignment Calc'!$D$5:$D$132=$A12)*('Assignment Calc'!$H$5:$H$132&lt;&gt;"")*('Assignment Calc'!$H$5:$H$132&lt;=BK$3)*('Assignment Calc'!$I$5:$I$132&gt;=BK$3)*'Assignment Calc'!$K$5:$K$132*'Assignment Calc'!$L$5:$L$132*'Assignment Calc'!$M$5:$M$132))</f>
        <v>0</v>
      </c>
      <c r="BL12" s="26" t="n">
        <f aca="false">IF(WEEKDAY(BL$3,2)&gt;5,0,SUMPRODUCT(('Assignment Calc'!$D$5:$D$132=$A12)*('Assignment Calc'!$H$5:$H$132&lt;&gt;"")*('Assignment Calc'!$H$5:$H$132&lt;=BL$3)*('Assignment Calc'!$I$5:$I$132&gt;=BL$3)*'Assignment Calc'!$K$5:$K$132*'Assignment Calc'!$L$5:$L$132*'Assignment Calc'!$M$5:$M$132))</f>
        <v>0</v>
      </c>
      <c r="BM12" s="26" t="n">
        <f aca="false">IF(WEEKDAY(BM$3,2)&gt;5,0,SUMPRODUCT(('Assignment Calc'!$D$5:$D$132=$A12)*('Assignment Calc'!$H$5:$H$132&lt;&gt;"")*('Assignment Calc'!$H$5:$H$132&lt;=BM$3)*('Assignment Calc'!$I$5:$I$132&gt;=BM$3)*'Assignment Calc'!$K$5:$K$132*'Assignment Calc'!$L$5:$L$132*'Assignment Calc'!$M$5:$M$132))</f>
        <v>0</v>
      </c>
      <c r="BN12" s="26" t="n">
        <f aca="false">IF(WEEKDAY(BN$3,2)&gt;5,0,SUMPRODUCT(('Assignment Calc'!$D$5:$D$132=$A12)*('Assignment Calc'!$H$5:$H$132&lt;&gt;"")*('Assignment Calc'!$H$5:$H$132&lt;=BN$3)*('Assignment Calc'!$I$5:$I$132&gt;=BN$3)*'Assignment Calc'!$K$5:$K$132*'Assignment Calc'!$L$5:$L$132*'Assignment Calc'!$M$5:$M$132))</f>
        <v>0</v>
      </c>
      <c r="BO12" s="26" t="n">
        <f aca="false">IF(WEEKDAY(BO$3,2)&gt;5,0,SUMPRODUCT(('Assignment Calc'!$D$5:$D$132=$A12)*('Assignment Calc'!$H$5:$H$132&lt;&gt;"")*('Assignment Calc'!$H$5:$H$132&lt;=BO$3)*('Assignment Calc'!$I$5:$I$132&gt;=BO$3)*'Assignment Calc'!$K$5:$K$132*'Assignment Calc'!$L$5:$L$132*'Assignment Calc'!$M$5:$M$132))</f>
        <v>0</v>
      </c>
      <c r="BP12" s="26" t="n">
        <f aca="false">IF(WEEKDAY(BP$3,2)&gt;5,0,SUMPRODUCT(('Assignment Calc'!$D$5:$D$132=$A12)*('Assignment Calc'!$H$5:$H$132&lt;&gt;"")*('Assignment Calc'!$H$5:$H$132&lt;=BP$3)*('Assignment Calc'!$I$5:$I$132&gt;=BP$3)*'Assignment Calc'!$K$5:$K$132*'Assignment Calc'!$L$5:$L$132*'Assignment Calc'!$M$5:$M$132))</f>
        <v>0</v>
      </c>
      <c r="BQ12" s="26" t="n">
        <f aca="false">IF(WEEKDAY(BQ$3,2)&gt;5,0,SUMPRODUCT(('Assignment Calc'!$D$5:$D$132=$A12)*('Assignment Calc'!$H$5:$H$132&lt;&gt;"")*('Assignment Calc'!$H$5:$H$132&lt;=BQ$3)*('Assignment Calc'!$I$5:$I$132&gt;=BQ$3)*'Assignment Calc'!$K$5:$K$132*'Assignment Calc'!$L$5:$L$132*'Assignment Calc'!$M$5:$M$132))</f>
        <v>0</v>
      </c>
      <c r="BR12" s="26" t="n">
        <f aca="false">IF(WEEKDAY(BR$3,2)&gt;5,0,SUMPRODUCT(('Assignment Calc'!$D$5:$D$132=$A12)*('Assignment Calc'!$H$5:$H$132&lt;&gt;"")*('Assignment Calc'!$H$5:$H$132&lt;=BR$3)*('Assignment Calc'!$I$5:$I$132&gt;=BR$3)*'Assignment Calc'!$K$5:$K$132*'Assignment Calc'!$L$5:$L$132*'Assignment Calc'!$M$5:$M$132))</f>
        <v>0</v>
      </c>
      <c r="BS12" s="26" t="n">
        <f aca="false">IF(WEEKDAY(BS$3,2)&gt;5,0,SUMPRODUCT(('Assignment Calc'!$D$5:$D$132=$A12)*('Assignment Calc'!$H$5:$H$132&lt;&gt;"")*('Assignment Calc'!$H$5:$H$132&lt;=BS$3)*('Assignment Calc'!$I$5:$I$132&gt;=BS$3)*'Assignment Calc'!$K$5:$K$132*'Assignment Calc'!$L$5:$L$132*'Assignment Calc'!$M$5:$M$132))</f>
        <v>0</v>
      </c>
      <c r="BT12" s="26" t="n">
        <f aca="false">IF(WEEKDAY(BT$3,2)&gt;5,0,SUMPRODUCT(('Assignment Calc'!$D$5:$D$132=$A12)*('Assignment Calc'!$H$5:$H$132&lt;&gt;"")*('Assignment Calc'!$H$5:$H$132&lt;=BT$3)*('Assignment Calc'!$I$5:$I$132&gt;=BT$3)*'Assignment Calc'!$K$5:$K$132*'Assignment Calc'!$L$5:$L$132*'Assignment Calc'!$M$5:$M$132))</f>
        <v>0</v>
      </c>
      <c r="BU12" s="26" t="n">
        <f aca="false">IF(WEEKDAY(BU$3,2)&gt;5,0,SUMPRODUCT(('Assignment Calc'!$D$5:$D$132=$A12)*('Assignment Calc'!$H$5:$H$132&lt;&gt;"")*('Assignment Calc'!$H$5:$H$132&lt;=BU$3)*('Assignment Calc'!$I$5:$I$132&gt;=BU$3)*'Assignment Calc'!$K$5:$K$132*'Assignment Calc'!$L$5:$L$132*'Assignment Calc'!$M$5:$M$132))</f>
        <v>0</v>
      </c>
      <c r="BV12" s="26" t="n">
        <f aca="false">IF(WEEKDAY(BV$3,2)&gt;5,0,SUMPRODUCT(('Assignment Calc'!$D$5:$D$132=$A12)*('Assignment Calc'!$H$5:$H$132&lt;&gt;"")*('Assignment Calc'!$H$5:$H$132&lt;=BV$3)*('Assignment Calc'!$I$5:$I$132&gt;=BV$3)*'Assignment Calc'!$K$5:$K$132*'Assignment Calc'!$L$5:$L$132*'Assignment Calc'!$M$5:$M$132))</f>
        <v>0</v>
      </c>
      <c r="BW12" s="26" t="n">
        <f aca="false">IF(WEEKDAY(BW$3,2)&gt;5,0,SUMPRODUCT(('Assignment Calc'!$D$5:$D$132=$A12)*('Assignment Calc'!$H$5:$H$132&lt;&gt;"")*('Assignment Calc'!$H$5:$H$132&lt;=BW$3)*('Assignment Calc'!$I$5:$I$132&gt;=BW$3)*'Assignment Calc'!$K$5:$K$132*'Assignment Calc'!$L$5:$L$132*'Assignment Calc'!$M$5:$M$132))</f>
        <v>0</v>
      </c>
      <c r="BX12" s="26" t="n">
        <f aca="false">IF(WEEKDAY(BX$3,2)&gt;5,0,SUMPRODUCT(('Assignment Calc'!$D$5:$D$132=$A12)*('Assignment Calc'!$H$5:$H$132&lt;&gt;"")*('Assignment Calc'!$H$5:$H$132&lt;=BX$3)*('Assignment Calc'!$I$5:$I$132&gt;=BX$3)*'Assignment Calc'!$K$5:$K$132*'Assignment Calc'!$L$5:$L$132*'Assignment Calc'!$M$5:$M$132))</f>
        <v>0</v>
      </c>
      <c r="BY12" s="26" t="n">
        <f aca="false">IF(WEEKDAY(BY$3,2)&gt;5,0,SUMPRODUCT(('Assignment Calc'!$D$5:$D$132=$A12)*('Assignment Calc'!$H$5:$H$132&lt;&gt;"")*('Assignment Calc'!$H$5:$H$132&lt;=BY$3)*('Assignment Calc'!$I$5:$I$132&gt;=BY$3)*'Assignment Calc'!$K$5:$K$132*'Assignment Calc'!$L$5:$L$132*'Assignment Calc'!$M$5:$M$132))</f>
        <v>0</v>
      </c>
      <c r="BZ12" s="26" t="n">
        <f aca="false">IF(WEEKDAY(BZ$3,2)&gt;5,0,SUMPRODUCT(('Assignment Calc'!$D$5:$D$132=$A12)*('Assignment Calc'!$H$5:$H$132&lt;&gt;"")*('Assignment Calc'!$H$5:$H$132&lt;=BZ$3)*('Assignment Calc'!$I$5:$I$132&gt;=BZ$3)*'Assignment Calc'!$K$5:$K$132*'Assignment Calc'!$L$5:$L$132*'Assignment Calc'!$M$5:$M$132))</f>
        <v>0</v>
      </c>
      <c r="CA12" s="26" t="n">
        <f aca="false">IF(WEEKDAY(CA$3,2)&gt;5,0,SUMPRODUCT(('Assignment Calc'!$D$5:$D$132=$A12)*('Assignment Calc'!$H$5:$H$132&lt;&gt;"")*('Assignment Calc'!$H$5:$H$132&lt;=CA$3)*('Assignment Calc'!$I$5:$I$132&gt;=CA$3)*'Assignment Calc'!$K$5:$K$132*'Assignment Calc'!$L$5:$L$132*'Assignment Calc'!$M$5:$M$132))</f>
        <v>0</v>
      </c>
      <c r="CB12" s="26" t="n">
        <f aca="false">IF(WEEKDAY(CB$3,2)&gt;5,0,SUMPRODUCT(('Assignment Calc'!$D$5:$D$132=$A12)*('Assignment Calc'!$H$5:$H$132&lt;&gt;"")*('Assignment Calc'!$H$5:$H$132&lt;=CB$3)*('Assignment Calc'!$I$5:$I$132&gt;=CB$3)*'Assignment Calc'!$K$5:$K$132*'Assignment Calc'!$L$5:$L$132*'Assignment Calc'!$M$5:$M$132))</f>
        <v>0</v>
      </c>
      <c r="CC12" s="26" t="n">
        <f aca="false">IF(WEEKDAY(CC$3,2)&gt;5,0,SUMPRODUCT(('Assignment Calc'!$D$5:$D$132=$A12)*('Assignment Calc'!$H$5:$H$132&lt;&gt;"")*('Assignment Calc'!$H$5:$H$132&lt;=CC$3)*('Assignment Calc'!$I$5:$I$132&gt;=CC$3)*'Assignment Calc'!$K$5:$K$132*'Assignment Calc'!$L$5:$L$132*'Assignment Calc'!$M$5:$M$132))</f>
        <v>0</v>
      </c>
      <c r="CD12" s="26" t="n">
        <f aca="false">IF(WEEKDAY(CD$3,2)&gt;5,0,SUMPRODUCT(('Assignment Calc'!$D$5:$D$132=$A12)*('Assignment Calc'!$H$5:$H$132&lt;&gt;"")*('Assignment Calc'!$H$5:$H$132&lt;=CD$3)*('Assignment Calc'!$I$5:$I$132&gt;=CD$3)*'Assignment Calc'!$K$5:$K$132*'Assignment Calc'!$L$5:$L$132*'Assignment Calc'!$M$5:$M$132))</f>
        <v>0</v>
      </c>
      <c r="CE12" s="26" t="n">
        <f aca="false">IF(WEEKDAY(CE$3,2)&gt;5,0,SUMPRODUCT(('Assignment Calc'!$D$5:$D$132=$A12)*('Assignment Calc'!$H$5:$H$132&lt;&gt;"")*('Assignment Calc'!$H$5:$H$132&lt;=CE$3)*('Assignment Calc'!$I$5:$I$132&gt;=CE$3)*'Assignment Calc'!$K$5:$K$132*'Assignment Calc'!$L$5:$L$132*'Assignment Calc'!$M$5:$M$132))</f>
        <v>0</v>
      </c>
      <c r="CF12" s="26" t="n">
        <f aca="false">IF(WEEKDAY(CF$3,2)&gt;5,0,SUMPRODUCT(('Assignment Calc'!$D$5:$D$132=$A12)*('Assignment Calc'!$H$5:$H$132&lt;&gt;"")*('Assignment Calc'!$H$5:$H$132&lt;=CF$3)*('Assignment Calc'!$I$5:$I$132&gt;=CF$3)*'Assignment Calc'!$K$5:$K$132*'Assignment Calc'!$L$5:$L$132*'Assignment Calc'!$M$5:$M$132))</f>
        <v>0</v>
      </c>
      <c r="CG12" s="26" t="n">
        <f aca="false">IF(WEEKDAY(CG$3,2)&gt;5,0,SUMPRODUCT(('Assignment Calc'!$D$5:$D$132=$A12)*('Assignment Calc'!$H$5:$H$132&lt;&gt;"")*('Assignment Calc'!$H$5:$H$132&lt;=CG$3)*('Assignment Calc'!$I$5:$I$132&gt;=CG$3)*'Assignment Calc'!$K$5:$K$132*'Assignment Calc'!$L$5:$L$132*'Assignment Calc'!$M$5:$M$132))</f>
        <v>0</v>
      </c>
      <c r="CH12" s="26" t="n">
        <f aca="false">IF(WEEKDAY(CH$3,2)&gt;5,0,SUMPRODUCT(('Assignment Calc'!$D$5:$D$132=$A12)*('Assignment Calc'!$H$5:$H$132&lt;&gt;"")*('Assignment Calc'!$H$5:$H$132&lt;=CH$3)*('Assignment Calc'!$I$5:$I$132&gt;=CH$3)*'Assignment Calc'!$K$5:$K$132*'Assignment Calc'!$L$5:$L$132*'Assignment Calc'!$M$5:$M$132))</f>
        <v>0</v>
      </c>
      <c r="CI12" s="26" t="n">
        <f aca="false">IF(WEEKDAY(CI$3,2)&gt;5,0,SUMPRODUCT(('Assignment Calc'!$D$5:$D$132=$A12)*('Assignment Calc'!$H$5:$H$132&lt;&gt;"")*('Assignment Calc'!$H$5:$H$132&lt;=CI$3)*('Assignment Calc'!$I$5:$I$132&gt;=CI$3)*'Assignment Calc'!$K$5:$K$132*'Assignment Calc'!$L$5:$L$132*'Assignment Calc'!$M$5:$M$132))</f>
        <v>0</v>
      </c>
      <c r="CJ12" s="26" t="n">
        <f aca="false">IF(WEEKDAY(CJ$3,2)&gt;5,0,SUMPRODUCT(('Assignment Calc'!$D$5:$D$132=$A12)*('Assignment Calc'!$H$5:$H$132&lt;&gt;"")*('Assignment Calc'!$H$5:$H$132&lt;=CJ$3)*('Assignment Calc'!$I$5:$I$132&gt;=CJ$3)*'Assignment Calc'!$K$5:$K$132*'Assignment Calc'!$L$5:$L$132*'Assignment Calc'!$M$5:$M$132))</f>
        <v>0</v>
      </c>
      <c r="CK12" s="26" t="n">
        <f aca="false">IF(WEEKDAY(CK$3,2)&gt;5,0,SUMPRODUCT(('Assignment Calc'!$D$5:$D$132=$A12)*('Assignment Calc'!$H$5:$H$132&lt;&gt;"")*('Assignment Calc'!$H$5:$H$132&lt;=CK$3)*('Assignment Calc'!$I$5:$I$132&gt;=CK$3)*'Assignment Calc'!$K$5:$K$132*'Assignment Calc'!$L$5:$L$132*'Assignment Calc'!$M$5:$M$132))</f>
        <v>0</v>
      </c>
      <c r="CL12" s="26" t="n">
        <f aca="false">IF(WEEKDAY(CL$3,2)&gt;5,0,SUMPRODUCT(('Assignment Calc'!$D$5:$D$132=$A12)*('Assignment Calc'!$H$5:$H$132&lt;&gt;"")*('Assignment Calc'!$H$5:$H$132&lt;=CL$3)*('Assignment Calc'!$I$5:$I$132&gt;=CL$3)*'Assignment Calc'!$K$5:$K$132*'Assignment Calc'!$L$5:$L$132*'Assignment Calc'!$M$5:$M$132))</f>
        <v>0</v>
      </c>
      <c r="CM12" s="26" t="n">
        <f aca="false">IF(WEEKDAY(CM$3,2)&gt;5,0,SUMPRODUCT(('Assignment Calc'!$D$5:$D$132=$A12)*('Assignment Calc'!$H$5:$H$132&lt;&gt;"")*('Assignment Calc'!$H$5:$H$132&lt;=CM$3)*('Assignment Calc'!$I$5:$I$132&gt;=CM$3)*'Assignment Calc'!$K$5:$K$132*'Assignment Calc'!$L$5:$L$132*'Assignment Calc'!$M$5:$M$132))</f>
        <v>0</v>
      </c>
      <c r="CN12" s="26" t="n">
        <f aca="false">IF(WEEKDAY(CN$3,2)&gt;5,0,SUMPRODUCT(('Assignment Calc'!$D$5:$D$132=$A12)*('Assignment Calc'!$H$5:$H$132&lt;&gt;"")*('Assignment Calc'!$H$5:$H$132&lt;=CN$3)*('Assignment Calc'!$I$5:$I$132&gt;=CN$3)*'Assignment Calc'!$K$5:$K$132*'Assignment Calc'!$L$5:$L$132*'Assignment Calc'!$M$5:$M$132))</f>
        <v>0</v>
      </c>
      <c r="CO12" s="26" t="n">
        <f aca="false">IF(WEEKDAY(CO$3,2)&gt;5,0,SUMPRODUCT(('Assignment Calc'!$D$5:$D$132=$A12)*('Assignment Calc'!$H$5:$H$132&lt;&gt;"")*('Assignment Calc'!$H$5:$H$132&lt;=CO$3)*('Assignment Calc'!$I$5:$I$132&gt;=CO$3)*'Assignment Calc'!$K$5:$K$132*'Assignment Calc'!$L$5:$L$132*'Assignment Calc'!$M$5:$M$132))</f>
        <v>0</v>
      </c>
      <c r="CP12" s="26" t="n">
        <f aca="false">IF(WEEKDAY(CP$3,2)&gt;5,0,SUMPRODUCT(('Assignment Calc'!$D$5:$D$132=$A12)*('Assignment Calc'!$H$5:$H$132&lt;&gt;"")*('Assignment Calc'!$H$5:$H$132&lt;=CP$3)*('Assignment Calc'!$I$5:$I$132&gt;=CP$3)*'Assignment Calc'!$K$5:$K$132*'Assignment Calc'!$L$5:$L$132*'Assignment Calc'!$M$5:$M$132))</f>
        <v>0</v>
      </c>
    </row>
  </sheetData>
  <conditionalFormatting sqref="C4:CP12">
    <cfRule type="expression" priority="2" aboveAverage="0" equalAverage="0" bottom="0" percent="0" rank="0" text="" dxfId="3">
      <formula>WEEKDAY(C$3,2)&gt;5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5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12"/>
    <col collapsed="false" customWidth="true" hidden="false" outlineLevel="0" max="8" min="8" style="1" width="20"/>
    <col collapsed="false" customWidth="true" hidden="false" outlineLevel="0" max="9" min="9" style="1" width="15"/>
  </cols>
  <sheetData>
    <row r="1" customFormat="false" ht="15" hidden="false" customHeight="true" outlineLevel="0" collapsed="false">
      <c r="A1" s="2" t="s">
        <v>494</v>
      </c>
      <c r="B1" s="2" t="s">
        <v>692</v>
      </c>
      <c r="C1" s="2" t="s">
        <v>693</v>
      </c>
      <c r="D1" s="2" t="s">
        <v>694</v>
      </c>
      <c r="E1" s="2" t="s">
        <v>695</v>
      </c>
      <c r="F1" s="2" t="s">
        <v>696</v>
      </c>
      <c r="G1" s="2" t="s">
        <v>697</v>
      </c>
      <c r="H1" s="2" t="s">
        <v>698</v>
      </c>
      <c r="I1" s="2" t="s">
        <v>699</v>
      </c>
    </row>
    <row r="2" customFormat="false" ht="15" hidden="false" customHeight="true" outlineLevel="0" collapsed="false">
      <c r="A2" s="20" t="s">
        <v>39</v>
      </c>
      <c r="B2" s="22" t="n">
        <v>46293</v>
      </c>
      <c r="C2" s="22" t="n">
        <v>46299</v>
      </c>
      <c r="D2" s="20" t="n">
        <f aca="false">NETWORKDAYS(MAX(B2,DATE(2026,10,1)),MIN(C2,DATE(2026,12,31)))</f>
        <v>2</v>
      </c>
      <c r="E2" s="23" t="n">
        <f aca="false">SUMPRODUCT(('Daily Expected'!$A$4:$A$12=$A2)*('Daily Expected'!$C$3:$CP$3&gt;=$B2)*('Daily Expected'!$C$3:$CP$3&lt;=$C2)*'Daily Expected'!$C$4:$CP$12)</f>
        <v>63</v>
      </c>
      <c r="F2" s="23" t="n">
        <f aca="false">IF($A2="Unassigned",0,D2*'Assignment Calc'!$B$1)</f>
        <v>18</v>
      </c>
      <c r="G2" s="27" t="n">
        <f aca="false">IF(F2=0,0,E2/F2)</f>
        <v>3.5</v>
      </c>
      <c r="H2" s="20" t="str">
        <f aca="false">IF($A2="Unassigned",IF(E2&gt;0,"Unassigned hours","-"),IF(E2=0,"Unallocated",IF(E2&gt;F2+0.0001,"Over-allocated",IF(ABS(E2-F2)&lt;0.0001,"Optimally allocated","Under-allocated"))))</f>
        <v>Over-allocated</v>
      </c>
      <c r="I2" s="23" t="n">
        <f aca="false">SUMPRODUCT(('Daily Closed-Cancelled'!$A$4:$A$12=$A2)*('Daily Closed-Cancelled'!$C$3:$CP$3&gt;=$B2)*('Daily Closed-Cancelled'!$C$3:$CP$3&lt;=$C2)*'Daily Closed-Cancelled'!$C$4:$CP$12)</f>
        <v>18</v>
      </c>
    </row>
    <row r="3" customFormat="false" ht="15" hidden="false" customHeight="true" outlineLevel="0" collapsed="false">
      <c r="A3" s="20" t="s">
        <v>39</v>
      </c>
      <c r="B3" s="22" t="n">
        <v>46300</v>
      </c>
      <c r="C3" s="22" t="n">
        <v>46306</v>
      </c>
      <c r="D3" s="20" t="n">
        <f aca="false">NETWORKDAYS(MAX(B3,DATE(2026,10,1)),MIN(C3,DATE(2026,12,31)))</f>
        <v>5</v>
      </c>
      <c r="E3" s="23" t="n">
        <f aca="false">SUMPRODUCT(('Daily Expected'!$A$4:$A$12=$A3)*('Daily Expected'!$C$3:$CP$3&gt;=$B3)*('Daily Expected'!$C$3:$CP$3&lt;=$C3)*'Daily Expected'!$C$4:$CP$12)</f>
        <v>165</v>
      </c>
      <c r="F3" s="23" t="n">
        <f aca="false">IF($A3="Unassigned",0,D3*'Assignment Calc'!$B$1)</f>
        <v>45</v>
      </c>
      <c r="G3" s="27" t="n">
        <f aca="false">IF(F3=0,0,E3/F3)</f>
        <v>3.66666666666667</v>
      </c>
      <c r="H3" s="20" t="str">
        <f aca="false">IF($A3="Unassigned",IF(E3&gt;0,"Unassigned hours","-"),IF(E3=0,"Unallocated",IF(E3&gt;F3+0.0001,"Over-allocated",IF(ABS(E3-F3)&lt;0.0001,"Optimally allocated","Under-allocated"))))</f>
        <v>Over-allocated</v>
      </c>
      <c r="I3" s="23" t="n">
        <f aca="false">SUMPRODUCT(('Daily Closed-Cancelled'!$A$4:$A$12=$A3)*('Daily Closed-Cancelled'!$C$3:$CP$3&gt;=$B3)*('Daily Closed-Cancelled'!$C$3:$CP$3&lt;=$C3)*'Daily Closed-Cancelled'!$C$4:$CP$12)</f>
        <v>45</v>
      </c>
    </row>
    <row r="4" customFormat="false" ht="15" hidden="false" customHeight="true" outlineLevel="0" collapsed="false">
      <c r="A4" s="20" t="s">
        <v>39</v>
      </c>
      <c r="B4" s="22" t="n">
        <v>46307</v>
      </c>
      <c r="C4" s="22" t="n">
        <v>46313</v>
      </c>
      <c r="D4" s="20" t="n">
        <f aca="false">NETWORKDAYS(MAX(B4,DATE(2026,10,1)),MIN(C4,DATE(2026,12,31)))</f>
        <v>5</v>
      </c>
      <c r="E4" s="23" t="n">
        <f aca="false">SUMPRODUCT(('Daily Expected'!$A$4:$A$12=$A4)*('Daily Expected'!$C$3:$CP$3&gt;=$B4)*('Daily Expected'!$C$3:$CP$3&lt;=$C4)*'Daily Expected'!$C$4:$CP$12)</f>
        <v>157.5</v>
      </c>
      <c r="F4" s="23" t="n">
        <f aca="false">IF($A4="Unassigned",0,D4*'Assignment Calc'!$B$1)</f>
        <v>45</v>
      </c>
      <c r="G4" s="27" t="n">
        <f aca="false">IF(F4=0,0,E4/F4)</f>
        <v>3.5</v>
      </c>
      <c r="H4" s="20" t="str">
        <f aca="false">IF($A4="Unassigned",IF(E4&gt;0,"Unassigned hours","-"),IF(E4=0,"Unallocated",IF(E4&gt;F4+0.0001,"Over-allocated",IF(ABS(E4-F4)&lt;0.0001,"Optimally allocated","Under-allocated"))))</f>
        <v>Over-allocated</v>
      </c>
      <c r="I4" s="23" t="n">
        <f aca="false">SUMPRODUCT(('Daily Closed-Cancelled'!$A$4:$A$12=$A4)*('Daily Closed-Cancelled'!$C$3:$CP$3&gt;=$B4)*('Daily Closed-Cancelled'!$C$3:$CP$3&lt;=$C4)*'Daily Closed-Cancelled'!$C$4:$CP$12)</f>
        <v>45</v>
      </c>
    </row>
    <row r="5" customFormat="false" ht="15" hidden="false" customHeight="true" outlineLevel="0" collapsed="false">
      <c r="A5" s="20" t="s">
        <v>39</v>
      </c>
      <c r="B5" s="22" t="n">
        <v>46314</v>
      </c>
      <c r="C5" s="22" t="n">
        <v>46320</v>
      </c>
      <c r="D5" s="20" t="n">
        <f aca="false">NETWORKDAYS(MAX(B5,DATE(2026,10,1)),MIN(C5,DATE(2026,12,31)))</f>
        <v>5</v>
      </c>
      <c r="E5" s="23" t="n">
        <f aca="false">SUMPRODUCT(('Daily Expected'!$A$4:$A$12=$A5)*('Daily Expected'!$C$3:$CP$3&gt;=$B5)*('Daily Expected'!$C$3:$CP$3&lt;=$C5)*'Daily Expected'!$C$4:$CP$12)</f>
        <v>135</v>
      </c>
      <c r="F5" s="23" t="n">
        <f aca="false">IF($A5="Unassigned",0,D5*'Assignment Calc'!$B$1)</f>
        <v>45</v>
      </c>
      <c r="G5" s="27" t="n">
        <f aca="false">IF(F5=0,0,E5/F5)</f>
        <v>3</v>
      </c>
      <c r="H5" s="20" t="str">
        <f aca="false">IF($A5="Unassigned",IF(E5&gt;0,"Unassigned hours","-"),IF(E5=0,"Unallocated",IF(E5&gt;F5+0.0001,"Over-allocated",IF(ABS(E5-F5)&lt;0.0001,"Optimally allocated","Under-allocated"))))</f>
        <v>Over-allocated</v>
      </c>
      <c r="I5" s="23" t="n">
        <f aca="false">SUMPRODUCT(('Daily Closed-Cancelled'!$A$4:$A$12=$A5)*('Daily Closed-Cancelled'!$C$3:$CP$3&gt;=$B5)*('Daily Closed-Cancelled'!$C$3:$CP$3&lt;=$C5)*'Daily Closed-Cancelled'!$C$4:$CP$12)</f>
        <v>45</v>
      </c>
    </row>
    <row r="6" customFormat="false" ht="15" hidden="false" customHeight="true" outlineLevel="0" collapsed="false">
      <c r="A6" s="20" t="s">
        <v>39</v>
      </c>
      <c r="B6" s="22" t="n">
        <v>46321</v>
      </c>
      <c r="C6" s="22" t="n">
        <v>46327</v>
      </c>
      <c r="D6" s="20" t="n">
        <f aca="false">NETWORKDAYS(MAX(B6,DATE(2026,10,1)),MIN(C6,DATE(2026,12,31)))</f>
        <v>5</v>
      </c>
      <c r="E6" s="23" t="n">
        <f aca="false">SUMPRODUCT(('Daily Expected'!$A$4:$A$12=$A6)*('Daily Expected'!$C$3:$CP$3&gt;=$B6)*('Daily Expected'!$C$3:$CP$3&lt;=$C6)*'Daily Expected'!$C$4:$CP$12)</f>
        <v>112.5</v>
      </c>
      <c r="F6" s="23" t="n">
        <f aca="false">IF($A6="Unassigned",0,D6*'Assignment Calc'!$B$1)</f>
        <v>45</v>
      </c>
      <c r="G6" s="27" t="n">
        <f aca="false">IF(F6=0,0,E6/F6)</f>
        <v>2.5</v>
      </c>
      <c r="H6" s="20" t="str">
        <f aca="false">IF($A6="Unassigned",IF(E6&gt;0,"Unassigned hours","-"),IF(E6=0,"Unallocated",IF(E6&gt;F6+0.0001,"Over-allocated",IF(ABS(E6-F6)&lt;0.0001,"Optimally allocated","Under-allocated"))))</f>
        <v>Over-allocated</v>
      </c>
      <c r="I6" s="23" t="n">
        <f aca="false">SUMPRODUCT(('Daily Closed-Cancelled'!$A$4:$A$12=$A6)*('Daily Closed-Cancelled'!$C$3:$CP$3&gt;=$B6)*('Daily Closed-Cancelled'!$C$3:$CP$3&lt;=$C6)*'Daily Closed-Cancelled'!$C$4:$CP$12)</f>
        <v>45</v>
      </c>
    </row>
    <row r="7" customFormat="false" ht="15" hidden="false" customHeight="true" outlineLevel="0" collapsed="false">
      <c r="A7" s="20" t="s">
        <v>39</v>
      </c>
      <c r="B7" s="22" t="n">
        <v>46328</v>
      </c>
      <c r="C7" s="22" t="n">
        <v>46334</v>
      </c>
      <c r="D7" s="20" t="n">
        <f aca="false">NETWORKDAYS(MAX(B7,DATE(2026,10,1)),MIN(C7,DATE(2026,12,31)))</f>
        <v>5</v>
      </c>
      <c r="E7" s="23" t="n">
        <f aca="false">SUMPRODUCT(('Daily Expected'!$A$4:$A$12=$A7)*('Daily Expected'!$C$3:$CP$3&gt;=$B7)*('Daily Expected'!$C$3:$CP$3&lt;=$C7)*'Daily Expected'!$C$4:$CP$12)</f>
        <v>67.5</v>
      </c>
      <c r="F7" s="23" t="n">
        <f aca="false">IF($A7="Unassigned",0,D7*'Assignment Calc'!$B$1)</f>
        <v>45</v>
      </c>
      <c r="G7" s="27" t="n">
        <f aca="false">IF(F7=0,0,E7/F7)</f>
        <v>1.5</v>
      </c>
      <c r="H7" s="20" t="str">
        <f aca="false">IF($A7="Unassigned",IF(E7&gt;0,"Unassigned hours","-"),IF(E7=0,"Unallocated",IF(E7&gt;F7+0.0001,"Over-allocated",IF(ABS(E7-F7)&lt;0.0001,"Optimally allocated","Under-allocated"))))</f>
        <v>Over-allocated</v>
      </c>
      <c r="I7" s="23" t="n">
        <f aca="false">SUMPRODUCT(('Daily Closed-Cancelled'!$A$4:$A$12=$A7)*('Daily Closed-Cancelled'!$C$3:$CP$3&gt;=$B7)*('Daily Closed-Cancelled'!$C$3:$CP$3&lt;=$C7)*'Daily Closed-Cancelled'!$C$4:$CP$12)</f>
        <v>0</v>
      </c>
    </row>
    <row r="8" customFormat="false" ht="15" hidden="false" customHeight="true" outlineLevel="0" collapsed="false">
      <c r="A8" s="20" t="s">
        <v>39</v>
      </c>
      <c r="B8" s="22" t="n">
        <v>46335</v>
      </c>
      <c r="C8" s="22" t="n">
        <v>46341</v>
      </c>
      <c r="D8" s="20" t="n">
        <f aca="false">NETWORKDAYS(MAX(B8,DATE(2026,10,1)),MIN(C8,DATE(2026,12,31)))</f>
        <v>5</v>
      </c>
      <c r="E8" s="23" t="n">
        <f aca="false">SUMPRODUCT(('Daily Expected'!$A$4:$A$12=$A8)*('Daily Expected'!$C$3:$CP$3&gt;=$B8)*('Daily Expected'!$C$3:$CP$3&lt;=$C8)*'Daily Expected'!$C$4:$CP$12)</f>
        <v>42.5</v>
      </c>
      <c r="F8" s="23" t="n">
        <f aca="false">IF($A8="Unassigned",0,D8*'Assignment Calc'!$B$1)</f>
        <v>45</v>
      </c>
      <c r="G8" s="27" t="n">
        <f aca="false">IF(F8=0,0,E8/F8)</f>
        <v>0.944444444444444</v>
      </c>
      <c r="H8" s="20" t="str">
        <f aca="false">IF($A8="Unassigned",IF(E8&gt;0,"Unassigned hours","-"),IF(E8=0,"Unallocated",IF(E8&gt;F8+0.0001,"Over-allocated",IF(ABS(E8-F8)&lt;0.0001,"Optimally allocated","Under-allocated"))))</f>
        <v>Under-allocated</v>
      </c>
      <c r="I8" s="23" t="n">
        <f aca="false">SUMPRODUCT(('Daily Closed-Cancelled'!$A$4:$A$12=$A8)*('Daily Closed-Cancelled'!$C$3:$CP$3&gt;=$B8)*('Daily Closed-Cancelled'!$C$3:$CP$3&lt;=$C8)*'Daily Closed-Cancelled'!$C$4:$CP$12)</f>
        <v>0</v>
      </c>
    </row>
    <row r="9" customFormat="false" ht="15" hidden="false" customHeight="true" outlineLevel="0" collapsed="false">
      <c r="A9" s="20" t="s">
        <v>39</v>
      </c>
      <c r="B9" s="22" t="n">
        <v>46342</v>
      </c>
      <c r="C9" s="22" t="n">
        <v>46348</v>
      </c>
      <c r="D9" s="20" t="n">
        <f aca="false">NETWORKDAYS(MAX(B9,DATE(2026,10,1)),MIN(C9,DATE(2026,12,31)))</f>
        <v>5</v>
      </c>
      <c r="E9" s="23" t="n">
        <f aca="false">SUMPRODUCT(('Daily Expected'!$A$4:$A$12=$A9)*('Daily Expected'!$C$3:$CP$3&gt;=$B9)*('Daily Expected'!$C$3:$CP$3&lt;=$C9)*'Daily Expected'!$C$4:$CP$12)</f>
        <v>0</v>
      </c>
      <c r="F9" s="23" t="n">
        <f aca="false">IF($A9="Unassigned",0,D9*'Assignment Calc'!$B$1)</f>
        <v>45</v>
      </c>
      <c r="G9" s="27" t="n">
        <f aca="false">IF(F9=0,0,E9/F9)</f>
        <v>0</v>
      </c>
      <c r="H9" s="20" t="str">
        <f aca="false">IF($A9="Unassigned",IF(E9&gt;0,"Unassigned hours","-"),IF(E9=0,"Unallocated",IF(E9&gt;F9+0.0001,"Over-allocated",IF(ABS(E9-F9)&lt;0.0001,"Optimally allocated","Under-allocated"))))</f>
        <v>Unallocated</v>
      </c>
      <c r="I9" s="23" t="n">
        <f aca="false">SUMPRODUCT(('Daily Closed-Cancelled'!$A$4:$A$12=$A9)*('Daily Closed-Cancelled'!$C$3:$CP$3&gt;=$B9)*('Daily Closed-Cancelled'!$C$3:$CP$3&lt;=$C9)*'Daily Closed-Cancelled'!$C$4:$CP$12)</f>
        <v>0</v>
      </c>
    </row>
    <row r="10" customFormat="false" ht="15" hidden="false" customHeight="true" outlineLevel="0" collapsed="false">
      <c r="A10" s="20" t="s">
        <v>39</v>
      </c>
      <c r="B10" s="22" t="n">
        <v>46349</v>
      </c>
      <c r="C10" s="22" t="n">
        <v>46355</v>
      </c>
      <c r="D10" s="20" t="n">
        <f aca="false">NETWORKDAYS(MAX(B10,DATE(2026,10,1)),MIN(C10,DATE(2026,12,31)))</f>
        <v>5</v>
      </c>
      <c r="E10" s="23" t="n">
        <f aca="false">SUMPRODUCT(('Daily Expected'!$A$4:$A$12=$A10)*('Daily Expected'!$C$3:$CP$3&gt;=$B10)*('Daily Expected'!$C$3:$CP$3&lt;=$C10)*'Daily Expected'!$C$4:$CP$12)</f>
        <v>47.5</v>
      </c>
      <c r="F10" s="23" t="n">
        <f aca="false">IF($A10="Unassigned",0,D10*'Assignment Calc'!$B$1)</f>
        <v>45</v>
      </c>
      <c r="G10" s="27" t="n">
        <f aca="false">IF(F10=0,0,E10/F10)</f>
        <v>1.05555555555556</v>
      </c>
      <c r="H10" s="20" t="str">
        <f aca="false">IF($A10="Unassigned",IF(E10&gt;0,"Unassigned hours","-"),IF(E10=0,"Unallocated",IF(E10&gt;F10+0.0001,"Over-allocated",IF(ABS(E10-F10)&lt;0.0001,"Optimally allocated","Under-allocated"))))</f>
        <v>Over-allocated</v>
      </c>
      <c r="I10" s="23" t="n">
        <f aca="false">SUMPRODUCT(('Daily Closed-Cancelled'!$A$4:$A$12=$A10)*('Daily Closed-Cancelled'!$C$3:$CP$3&gt;=$B10)*('Daily Closed-Cancelled'!$C$3:$CP$3&lt;=$C10)*'Daily Closed-Cancelled'!$C$4:$CP$12)</f>
        <v>25</v>
      </c>
    </row>
    <row r="11" customFormat="false" ht="15" hidden="false" customHeight="true" outlineLevel="0" collapsed="false">
      <c r="A11" s="20" t="s">
        <v>39</v>
      </c>
      <c r="B11" s="22" t="n">
        <v>46356</v>
      </c>
      <c r="C11" s="22" t="n">
        <v>46362</v>
      </c>
      <c r="D11" s="20" t="n">
        <f aca="false">NETWORKDAYS(MAX(B11,DATE(2026,10,1)),MIN(C11,DATE(2026,12,31)))</f>
        <v>5</v>
      </c>
      <c r="E11" s="23" t="n">
        <f aca="false">SUMPRODUCT(('Daily Expected'!$A$4:$A$12=$A11)*('Daily Expected'!$C$3:$CP$3&gt;=$B11)*('Daily Expected'!$C$3:$CP$3&lt;=$C11)*'Daily Expected'!$C$4:$CP$12)</f>
        <v>18</v>
      </c>
      <c r="F11" s="23" t="n">
        <f aca="false">IF($A11="Unassigned",0,D11*'Assignment Calc'!$B$1)</f>
        <v>45</v>
      </c>
      <c r="G11" s="27" t="n">
        <f aca="false">IF(F11=0,0,E11/F11)</f>
        <v>0.4</v>
      </c>
      <c r="H11" s="20" t="str">
        <f aca="false">IF($A11="Unassigned",IF(E11&gt;0,"Unassigned hours","-"),IF(E11=0,"Unallocated",IF(E11&gt;F11+0.0001,"Over-allocated",IF(ABS(E11-F11)&lt;0.0001,"Optimally allocated","Under-allocated"))))</f>
        <v>Under-allocated</v>
      </c>
      <c r="I11" s="23" t="n">
        <f aca="false">SUMPRODUCT(('Daily Closed-Cancelled'!$A$4:$A$12=$A11)*('Daily Closed-Cancelled'!$C$3:$CP$3&gt;=$B11)*('Daily Closed-Cancelled'!$C$3:$CP$3&lt;=$C11)*'Daily Closed-Cancelled'!$C$4:$CP$12)</f>
        <v>0</v>
      </c>
    </row>
    <row r="12" customFormat="false" ht="15" hidden="false" customHeight="true" outlineLevel="0" collapsed="false">
      <c r="A12" s="20" t="s">
        <v>39</v>
      </c>
      <c r="B12" s="22" t="n">
        <v>46363</v>
      </c>
      <c r="C12" s="22" t="n">
        <v>46369</v>
      </c>
      <c r="D12" s="20" t="n">
        <f aca="false">NETWORKDAYS(MAX(B12,DATE(2026,10,1)),MIN(C12,DATE(2026,12,31)))</f>
        <v>5</v>
      </c>
      <c r="E12" s="23" t="n">
        <f aca="false">SUMPRODUCT(('Daily Expected'!$A$4:$A$12=$A12)*('Daily Expected'!$C$3:$CP$3&gt;=$B12)*('Daily Expected'!$C$3:$CP$3&lt;=$C12)*'Daily Expected'!$C$4:$CP$12)</f>
        <v>15</v>
      </c>
      <c r="F12" s="23" t="n">
        <f aca="false">IF($A12="Unassigned",0,D12*'Assignment Calc'!$B$1)</f>
        <v>45</v>
      </c>
      <c r="G12" s="27" t="n">
        <f aca="false">IF(F12=0,0,E12/F12)</f>
        <v>0.333333333333333</v>
      </c>
      <c r="H12" s="20" t="str">
        <f aca="false">IF($A12="Unassigned",IF(E12&gt;0,"Unassigned hours","-"),IF(E12=0,"Unallocated",IF(E12&gt;F12+0.0001,"Over-allocated",IF(ABS(E12-F12)&lt;0.0001,"Optimally allocated","Under-allocated"))))</f>
        <v>Under-allocated</v>
      </c>
      <c r="I12" s="23" t="n">
        <f aca="false">SUMPRODUCT(('Daily Closed-Cancelled'!$A$4:$A$12=$A12)*('Daily Closed-Cancelled'!$C$3:$CP$3&gt;=$B12)*('Daily Closed-Cancelled'!$C$3:$CP$3&lt;=$C12)*'Daily Closed-Cancelled'!$C$4:$CP$12)</f>
        <v>0</v>
      </c>
    </row>
    <row r="13" customFormat="false" ht="15" hidden="false" customHeight="true" outlineLevel="0" collapsed="false">
      <c r="A13" s="20" t="s">
        <v>39</v>
      </c>
      <c r="B13" s="22" t="n">
        <v>46370</v>
      </c>
      <c r="C13" s="22" t="n">
        <v>46376</v>
      </c>
      <c r="D13" s="20" t="n">
        <f aca="false">NETWORKDAYS(MAX(B13,DATE(2026,10,1)),MIN(C13,DATE(2026,12,31)))</f>
        <v>5</v>
      </c>
      <c r="E13" s="23" t="n">
        <f aca="false">SUMPRODUCT(('Daily Expected'!$A$4:$A$12=$A13)*('Daily Expected'!$C$3:$CP$3&gt;=$B13)*('Daily Expected'!$C$3:$CP$3&lt;=$C13)*'Daily Expected'!$C$4:$CP$12)</f>
        <v>0</v>
      </c>
      <c r="F13" s="23" t="n">
        <f aca="false">IF($A13="Unassigned",0,D13*'Assignment Calc'!$B$1)</f>
        <v>45</v>
      </c>
      <c r="G13" s="27" t="n">
        <f aca="false">IF(F13=0,0,E13/F13)</f>
        <v>0</v>
      </c>
      <c r="H13" s="20" t="str">
        <f aca="false">IF($A13="Unassigned",IF(E13&gt;0,"Unassigned hours","-"),IF(E13=0,"Unallocated",IF(E13&gt;F13+0.0001,"Over-allocated",IF(ABS(E13-F13)&lt;0.0001,"Optimally allocated","Under-allocated"))))</f>
        <v>Unallocated</v>
      </c>
      <c r="I13" s="23" t="n">
        <f aca="false">SUMPRODUCT(('Daily Closed-Cancelled'!$A$4:$A$12=$A13)*('Daily Closed-Cancelled'!$C$3:$CP$3&gt;=$B13)*('Daily Closed-Cancelled'!$C$3:$CP$3&lt;=$C13)*'Daily Closed-Cancelled'!$C$4:$CP$12)</f>
        <v>0</v>
      </c>
    </row>
    <row r="14" customFormat="false" ht="15" hidden="false" customHeight="true" outlineLevel="0" collapsed="false">
      <c r="A14" s="20" t="s">
        <v>39</v>
      </c>
      <c r="B14" s="22" t="n">
        <v>46377</v>
      </c>
      <c r="C14" s="22" t="n">
        <v>46383</v>
      </c>
      <c r="D14" s="20" t="n">
        <f aca="false">NETWORKDAYS(MAX(B14,DATE(2026,10,1)),MIN(C14,DATE(2026,12,31)))</f>
        <v>5</v>
      </c>
      <c r="E14" s="23" t="n">
        <f aca="false">SUMPRODUCT(('Daily Expected'!$A$4:$A$12=$A14)*('Daily Expected'!$C$3:$CP$3&gt;=$B14)*('Daily Expected'!$C$3:$CP$3&lt;=$C14)*'Daily Expected'!$C$4:$CP$12)</f>
        <v>60</v>
      </c>
      <c r="F14" s="23" t="n">
        <f aca="false">IF($A14="Unassigned",0,D14*'Assignment Calc'!$B$1)</f>
        <v>45</v>
      </c>
      <c r="G14" s="27" t="n">
        <f aca="false">IF(F14=0,0,E14/F14)</f>
        <v>1.33333333333333</v>
      </c>
      <c r="H14" s="20" t="str">
        <f aca="false">IF($A14="Unassigned",IF(E14&gt;0,"Unassigned hours","-"),IF(E14=0,"Unallocated",IF(E14&gt;F14+0.0001,"Over-allocated",IF(ABS(E14-F14)&lt;0.0001,"Optimally allocated","Under-allocated"))))</f>
        <v>Over-allocated</v>
      </c>
      <c r="I14" s="23" t="n">
        <f aca="false">SUMPRODUCT(('Daily Closed-Cancelled'!$A$4:$A$12=$A14)*('Daily Closed-Cancelled'!$C$3:$CP$3&gt;=$B14)*('Daily Closed-Cancelled'!$C$3:$CP$3&lt;=$C14)*'Daily Closed-Cancelled'!$C$4:$CP$12)</f>
        <v>0</v>
      </c>
    </row>
    <row r="15" customFormat="false" ht="15" hidden="false" customHeight="true" outlineLevel="0" collapsed="false">
      <c r="A15" s="20" t="s">
        <v>39</v>
      </c>
      <c r="B15" s="22" t="n">
        <v>46384</v>
      </c>
      <c r="C15" s="22" t="n">
        <v>46390</v>
      </c>
      <c r="D15" s="20" t="n">
        <f aca="false">NETWORKDAYS(MAX(B15,DATE(2026,10,1)),MIN(C15,DATE(2026,12,31)))</f>
        <v>4</v>
      </c>
      <c r="E15" s="23" t="n">
        <f aca="false">SUMPRODUCT(('Daily Expected'!$A$4:$A$12=$A15)*('Daily Expected'!$C$3:$CP$3&gt;=$B15)*('Daily Expected'!$C$3:$CP$3&lt;=$C15)*'Daily Expected'!$C$4:$CP$12)</f>
        <v>36</v>
      </c>
      <c r="F15" s="23" t="n">
        <f aca="false">IF($A15="Unassigned",0,D15*'Assignment Calc'!$B$1)</f>
        <v>36</v>
      </c>
      <c r="G15" s="27" t="n">
        <f aca="false">IF(F15=0,0,E15/F15)</f>
        <v>1</v>
      </c>
      <c r="H15" s="20" t="str">
        <f aca="false">IF($A15="Unassigned",IF(E15&gt;0,"Unassigned hours","-"),IF(E15=0,"Unallocated",IF(E15&gt;F15+0.0001,"Over-allocated",IF(ABS(E15-F15)&lt;0.0001,"Optimally allocated","Under-allocated"))))</f>
        <v>Optimally allocated</v>
      </c>
      <c r="I15" s="23" t="n">
        <f aca="false">SUMPRODUCT(('Daily Closed-Cancelled'!$A$4:$A$12=$A15)*('Daily Closed-Cancelled'!$C$3:$CP$3&gt;=$B15)*('Daily Closed-Cancelled'!$C$3:$CP$3&lt;=$C15)*'Daily Closed-Cancelled'!$C$4:$CP$12)</f>
        <v>0</v>
      </c>
    </row>
    <row r="16" customFormat="false" ht="15" hidden="false" customHeight="true" outlineLevel="0" collapsed="false">
      <c r="A16" s="20" t="s">
        <v>94</v>
      </c>
      <c r="B16" s="22" t="n">
        <v>46293</v>
      </c>
      <c r="C16" s="22" t="n">
        <v>46299</v>
      </c>
      <c r="D16" s="20" t="n">
        <f aca="false">NETWORKDAYS(MAX(B16,DATE(2026,10,1)),MIN(C16,DATE(2026,12,31)))</f>
        <v>2</v>
      </c>
      <c r="E16" s="23" t="n">
        <f aca="false">SUMPRODUCT(('Daily Expected'!$A$4:$A$12=$A16)*('Daily Expected'!$C$3:$CP$3&gt;=$B16)*('Daily Expected'!$C$3:$CP$3&lt;=$C16)*'Daily Expected'!$C$4:$CP$12)</f>
        <v>30</v>
      </c>
      <c r="F16" s="23" t="n">
        <f aca="false">IF($A16="Unassigned",0,D16*'Assignment Calc'!$B$1)</f>
        <v>18</v>
      </c>
      <c r="G16" s="27" t="n">
        <f aca="false">IF(F16=0,0,E16/F16)</f>
        <v>1.66666666666667</v>
      </c>
      <c r="H16" s="20" t="str">
        <f aca="false">IF($A16="Unassigned",IF(E16&gt;0,"Unassigned hours","-"),IF(E16=0,"Unallocated",IF(E16&gt;F16+0.0001,"Over-allocated",IF(ABS(E16-F16)&lt;0.0001,"Optimally allocated","Under-allocated"))))</f>
        <v>Over-allocated</v>
      </c>
      <c r="I16" s="23" t="n">
        <f aca="false">SUMPRODUCT(('Daily Closed-Cancelled'!$A$4:$A$12=$A16)*('Daily Closed-Cancelled'!$C$3:$CP$3&gt;=$B16)*('Daily Closed-Cancelled'!$C$3:$CP$3&lt;=$C16)*'Daily Closed-Cancelled'!$C$4:$CP$12)</f>
        <v>0</v>
      </c>
    </row>
    <row r="17" customFormat="false" ht="15" hidden="false" customHeight="true" outlineLevel="0" collapsed="false">
      <c r="A17" s="20" t="s">
        <v>94</v>
      </c>
      <c r="B17" s="22" t="n">
        <v>46300</v>
      </c>
      <c r="C17" s="22" t="n">
        <v>46306</v>
      </c>
      <c r="D17" s="20" t="n">
        <f aca="false">NETWORKDAYS(MAX(B17,DATE(2026,10,1)),MIN(C17,DATE(2026,12,31)))</f>
        <v>5</v>
      </c>
      <c r="E17" s="23" t="n">
        <f aca="false">SUMPRODUCT(('Daily Expected'!$A$4:$A$12=$A17)*('Daily Expected'!$C$3:$CP$3&gt;=$B17)*('Daily Expected'!$C$3:$CP$3&lt;=$C17)*'Daily Expected'!$C$4:$CP$12)</f>
        <v>90</v>
      </c>
      <c r="F17" s="23" t="n">
        <f aca="false">IF($A17="Unassigned",0,D17*'Assignment Calc'!$B$1)</f>
        <v>45</v>
      </c>
      <c r="G17" s="27" t="n">
        <f aca="false">IF(F17=0,0,E17/F17)</f>
        <v>2</v>
      </c>
      <c r="H17" s="20" t="str">
        <f aca="false">IF($A17="Unassigned",IF(E17&gt;0,"Unassigned hours","-"),IF(E17=0,"Unallocated",IF(E17&gt;F17+0.0001,"Over-allocated",IF(ABS(E17-F17)&lt;0.0001,"Optimally allocated","Under-allocated"))))</f>
        <v>Over-allocated</v>
      </c>
      <c r="I17" s="23" t="n">
        <f aca="false">SUMPRODUCT(('Daily Closed-Cancelled'!$A$4:$A$12=$A17)*('Daily Closed-Cancelled'!$C$3:$CP$3&gt;=$B17)*('Daily Closed-Cancelled'!$C$3:$CP$3&lt;=$C17)*'Daily Closed-Cancelled'!$C$4:$CP$12)</f>
        <v>0</v>
      </c>
    </row>
    <row r="18" customFormat="false" ht="15" hidden="false" customHeight="true" outlineLevel="0" collapsed="false">
      <c r="A18" s="20" t="s">
        <v>94</v>
      </c>
      <c r="B18" s="22" t="n">
        <v>46307</v>
      </c>
      <c r="C18" s="22" t="n">
        <v>46313</v>
      </c>
      <c r="D18" s="20" t="n">
        <f aca="false">NETWORKDAYS(MAX(B18,DATE(2026,10,1)),MIN(C18,DATE(2026,12,31)))</f>
        <v>5</v>
      </c>
      <c r="E18" s="23" t="n">
        <f aca="false">SUMPRODUCT(('Daily Expected'!$A$4:$A$12=$A18)*('Daily Expected'!$C$3:$CP$3&gt;=$B18)*('Daily Expected'!$C$3:$CP$3&lt;=$C18)*'Daily Expected'!$C$4:$CP$12)</f>
        <v>56.25</v>
      </c>
      <c r="F18" s="23" t="n">
        <f aca="false">IF($A18="Unassigned",0,D18*'Assignment Calc'!$B$1)</f>
        <v>45</v>
      </c>
      <c r="G18" s="27" t="n">
        <f aca="false">IF(F18=0,0,E18/F18)</f>
        <v>1.25</v>
      </c>
      <c r="H18" s="20" t="str">
        <f aca="false">IF($A18="Unassigned",IF(E18&gt;0,"Unassigned hours","-"),IF(E18=0,"Unallocated",IF(E18&gt;F18+0.0001,"Over-allocated",IF(ABS(E18-F18)&lt;0.0001,"Optimally allocated","Under-allocated"))))</f>
        <v>Over-allocated</v>
      </c>
      <c r="I18" s="23" t="n">
        <f aca="false">SUMPRODUCT(('Daily Closed-Cancelled'!$A$4:$A$12=$A18)*('Daily Closed-Cancelled'!$C$3:$CP$3&gt;=$B18)*('Daily Closed-Cancelled'!$C$3:$CP$3&lt;=$C18)*'Daily Closed-Cancelled'!$C$4:$CP$12)</f>
        <v>11.25</v>
      </c>
    </row>
    <row r="19" customFormat="false" ht="15" hidden="false" customHeight="true" outlineLevel="0" collapsed="false">
      <c r="A19" s="20" t="s">
        <v>94</v>
      </c>
      <c r="B19" s="22" t="n">
        <v>46314</v>
      </c>
      <c r="C19" s="22" t="n">
        <v>46320</v>
      </c>
      <c r="D19" s="20" t="n">
        <f aca="false">NETWORKDAYS(MAX(B19,DATE(2026,10,1)),MIN(C19,DATE(2026,12,31)))</f>
        <v>5</v>
      </c>
      <c r="E19" s="23" t="n">
        <f aca="false">SUMPRODUCT(('Daily Expected'!$A$4:$A$12=$A19)*('Daily Expected'!$C$3:$CP$3&gt;=$B19)*('Daily Expected'!$C$3:$CP$3&lt;=$C19)*'Daily Expected'!$C$4:$CP$12)</f>
        <v>45</v>
      </c>
      <c r="F19" s="23" t="n">
        <f aca="false">IF($A19="Unassigned",0,D19*'Assignment Calc'!$B$1)</f>
        <v>45</v>
      </c>
      <c r="G19" s="27" t="n">
        <f aca="false">IF(F19=0,0,E19/F19)</f>
        <v>1</v>
      </c>
      <c r="H19" s="20" t="str">
        <f aca="false">IF($A19="Unassigned",IF(E19&gt;0,"Unassigned hours","-"),IF(E19=0,"Unallocated",IF(E19&gt;F19+0.0001,"Over-allocated",IF(ABS(E19-F19)&lt;0.0001,"Optimally allocated","Under-allocated"))))</f>
        <v>Optimally allocated</v>
      </c>
      <c r="I19" s="23" t="n">
        <f aca="false">SUMPRODUCT(('Daily Closed-Cancelled'!$A$4:$A$12=$A19)*('Daily Closed-Cancelled'!$C$3:$CP$3&gt;=$B19)*('Daily Closed-Cancelled'!$C$3:$CP$3&lt;=$C19)*'Daily Closed-Cancelled'!$C$4:$CP$12)</f>
        <v>0</v>
      </c>
    </row>
    <row r="20" customFormat="false" ht="15" hidden="false" customHeight="true" outlineLevel="0" collapsed="false">
      <c r="A20" s="20" t="s">
        <v>94</v>
      </c>
      <c r="B20" s="22" t="n">
        <v>46321</v>
      </c>
      <c r="C20" s="22" t="n">
        <v>46327</v>
      </c>
      <c r="D20" s="20" t="n">
        <f aca="false">NETWORKDAYS(MAX(B20,DATE(2026,10,1)),MIN(C20,DATE(2026,12,31)))</f>
        <v>5</v>
      </c>
      <c r="E20" s="23" t="n">
        <f aca="false">SUMPRODUCT(('Daily Expected'!$A$4:$A$12=$A20)*('Daily Expected'!$C$3:$CP$3&gt;=$B20)*('Daily Expected'!$C$3:$CP$3&lt;=$C20)*'Daily Expected'!$C$4:$CP$12)</f>
        <v>112.5</v>
      </c>
      <c r="F20" s="23" t="n">
        <f aca="false">IF($A20="Unassigned",0,D20*'Assignment Calc'!$B$1)</f>
        <v>45</v>
      </c>
      <c r="G20" s="27" t="n">
        <f aca="false">IF(F20=0,0,E20/F20)</f>
        <v>2.5</v>
      </c>
      <c r="H20" s="20" t="str">
        <f aca="false">IF($A20="Unassigned",IF(E20&gt;0,"Unassigned hours","-"),IF(E20=0,"Unallocated",IF(E20&gt;F20+0.0001,"Over-allocated",IF(ABS(E20-F20)&lt;0.0001,"Optimally allocated","Under-allocated"))))</f>
        <v>Over-allocated</v>
      </c>
      <c r="I20" s="23" t="n">
        <f aca="false">SUMPRODUCT(('Daily Closed-Cancelled'!$A$4:$A$12=$A20)*('Daily Closed-Cancelled'!$C$3:$CP$3&gt;=$B20)*('Daily Closed-Cancelled'!$C$3:$CP$3&lt;=$C20)*'Daily Closed-Cancelled'!$C$4:$CP$12)</f>
        <v>67.5</v>
      </c>
    </row>
    <row r="21" customFormat="false" ht="15" hidden="false" customHeight="true" outlineLevel="0" collapsed="false">
      <c r="A21" s="20" t="s">
        <v>94</v>
      </c>
      <c r="B21" s="22" t="n">
        <v>46328</v>
      </c>
      <c r="C21" s="22" t="n">
        <v>46334</v>
      </c>
      <c r="D21" s="20" t="n">
        <f aca="false">NETWORKDAYS(MAX(B21,DATE(2026,10,1)),MIN(C21,DATE(2026,12,31)))</f>
        <v>5</v>
      </c>
      <c r="E21" s="23" t="n">
        <f aca="false">SUMPRODUCT(('Daily Expected'!$A$4:$A$12=$A21)*('Daily Expected'!$C$3:$CP$3&gt;=$B21)*('Daily Expected'!$C$3:$CP$3&lt;=$C21)*'Daily Expected'!$C$4:$CP$12)</f>
        <v>22.5</v>
      </c>
      <c r="F21" s="23" t="n">
        <f aca="false">IF($A21="Unassigned",0,D21*'Assignment Calc'!$B$1)</f>
        <v>45</v>
      </c>
      <c r="G21" s="27" t="n">
        <f aca="false">IF(F21=0,0,E21/F21)</f>
        <v>0.5</v>
      </c>
      <c r="H21" s="20" t="str">
        <f aca="false">IF($A21="Unassigned",IF(E21&gt;0,"Unassigned hours","-"),IF(E21=0,"Unallocated",IF(E21&gt;F21+0.0001,"Over-allocated",IF(ABS(E21-F21)&lt;0.0001,"Optimally allocated","Under-allocated"))))</f>
        <v>Under-allocated</v>
      </c>
      <c r="I21" s="23" t="n">
        <f aca="false">SUMPRODUCT(('Daily Closed-Cancelled'!$A$4:$A$12=$A21)*('Daily Closed-Cancelled'!$C$3:$CP$3&gt;=$B21)*('Daily Closed-Cancelled'!$C$3:$CP$3&lt;=$C21)*'Daily Closed-Cancelled'!$C$4:$CP$12)</f>
        <v>0</v>
      </c>
    </row>
    <row r="22" customFormat="false" ht="15" hidden="false" customHeight="true" outlineLevel="0" collapsed="false">
      <c r="A22" s="20" t="s">
        <v>94</v>
      </c>
      <c r="B22" s="22" t="n">
        <v>46335</v>
      </c>
      <c r="C22" s="22" t="n">
        <v>46341</v>
      </c>
      <c r="D22" s="20" t="n">
        <f aca="false">NETWORKDAYS(MAX(B22,DATE(2026,10,1)),MIN(C22,DATE(2026,12,31)))</f>
        <v>5</v>
      </c>
      <c r="E22" s="23" t="n">
        <f aca="false">SUMPRODUCT(('Daily Expected'!$A$4:$A$12=$A22)*('Daily Expected'!$C$3:$CP$3&gt;=$B22)*('Daily Expected'!$C$3:$CP$3&lt;=$C22)*'Daily Expected'!$C$4:$CP$12)</f>
        <v>0</v>
      </c>
      <c r="F22" s="23" t="n">
        <f aca="false">IF($A22="Unassigned",0,D22*'Assignment Calc'!$B$1)</f>
        <v>45</v>
      </c>
      <c r="G22" s="27" t="n">
        <f aca="false">IF(F22=0,0,E22/F22)</f>
        <v>0</v>
      </c>
      <c r="H22" s="20" t="str">
        <f aca="false">IF($A22="Unassigned",IF(E22&gt;0,"Unassigned hours","-"),IF(E22=0,"Unallocated",IF(E22&gt;F22+0.0001,"Over-allocated",IF(ABS(E22-F22)&lt;0.0001,"Optimally allocated","Under-allocated"))))</f>
        <v>Unallocated</v>
      </c>
      <c r="I22" s="23" t="n">
        <f aca="false">SUMPRODUCT(('Daily Closed-Cancelled'!$A$4:$A$12=$A22)*('Daily Closed-Cancelled'!$C$3:$CP$3&gt;=$B22)*('Daily Closed-Cancelled'!$C$3:$CP$3&lt;=$C22)*'Daily Closed-Cancelled'!$C$4:$CP$12)</f>
        <v>0</v>
      </c>
    </row>
    <row r="23" customFormat="false" ht="15" hidden="false" customHeight="true" outlineLevel="0" collapsed="false">
      <c r="A23" s="20" t="s">
        <v>94</v>
      </c>
      <c r="B23" s="22" t="n">
        <v>46342</v>
      </c>
      <c r="C23" s="22" t="n">
        <v>46348</v>
      </c>
      <c r="D23" s="20" t="n">
        <f aca="false">NETWORKDAYS(MAX(B23,DATE(2026,10,1)),MIN(C23,DATE(2026,12,31)))</f>
        <v>5</v>
      </c>
      <c r="E23" s="23" t="n">
        <f aca="false">SUMPRODUCT(('Daily Expected'!$A$4:$A$12=$A23)*('Daily Expected'!$C$3:$CP$3&gt;=$B23)*('Daily Expected'!$C$3:$CP$3&lt;=$C23)*'Daily Expected'!$C$4:$CP$12)</f>
        <v>52.5</v>
      </c>
      <c r="F23" s="23" t="n">
        <f aca="false">IF($A23="Unassigned",0,D23*'Assignment Calc'!$B$1)</f>
        <v>45</v>
      </c>
      <c r="G23" s="27" t="n">
        <f aca="false">IF(F23=0,0,E23/F23)</f>
        <v>1.16666666666667</v>
      </c>
      <c r="H23" s="20" t="str">
        <f aca="false">IF($A23="Unassigned",IF(E23&gt;0,"Unassigned hours","-"),IF(E23=0,"Unallocated",IF(E23&gt;F23+0.0001,"Over-allocated",IF(ABS(E23-F23)&lt;0.0001,"Optimally allocated","Under-allocated"))))</f>
        <v>Over-allocated</v>
      </c>
      <c r="I23" s="23" t="n">
        <f aca="false">SUMPRODUCT(('Daily Closed-Cancelled'!$A$4:$A$12=$A23)*('Daily Closed-Cancelled'!$C$3:$CP$3&gt;=$B23)*('Daily Closed-Cancelled'!$C$3:$CP$3&lt;=$C23)*'Daily Closed-Cancelled'!$C$4:$CP$12)</f>
        <v>0</v>
      </c>
    </row>
    <row r="24" customFormat="false" ht="15" hidden="false" customHeight="true" outlineLevel="0" collapsed="false">
      <c r="A24" s="20" t="s">
        <v>94</v>
      </c>
      <c r="B24" s="22" t="n">
        <v>46349</v>
      </c>
      <c r="C24" s="22" t="n">
        <v>46355</v>
      </c>
      <c r="D24" s="20" t="n">
        <f aca="false">NETWORKDAYS(MAX(B24,DATE(2026,10,1)),MIN(C24,DATE(2026,12,31)))</f>
        <v>5</v>
      </c>
      <c r="E24" s="23" t="n">
        <f aca="false">SUMPRODUCT(('Daily Expected'!$A$4:$A$12=$A24)*('Daily Expected'!$C$3:$CP$3&gt;=$B24)*('Daily Expected'!$C$3:$CP$3&lt;=$C24)*'Daily Expected'!$C$4:$CP$12)</f>
        <v>45</v>
      </c>
      <c r="F24" s="23" t="n">
        <f aca="false">IF($A24="Unassigned",0,D24*'Assignment Calc'!$B$1)</f>
        <v>45</v>
      </c>
      <c r="G24" s="27" t="n">
        <f aca="false">IF(F24=0,0,E24/F24)</f>
        <v>1</v>
      </c>
      <c r="H24" s="20" t="str">
        <f aca="false">IF($A24="Unassigned",IF(E24&gt;0,"Unassigned hours","-"),IF(E24=0,"Unallocated",IF(E24&gt;F24+0.0001,"Over-allocated",IF(ABS(E24-F24)&lt;0.0001,"Optimally allocated","Under-allocated"))))</f>
        <v>Optimally allocated</v>
      </c>
      <c r="I24" s="23" t="n">
        <f aca="false">SUMPRODUCT(('Daily Closed-Cancelled'!$A$4:$A$12=$A24)*('Daily Closed-Cancelled'!$C$3:$CP$3&gt;=$B24)*('Daily Closed-Cancelled'!$C$3:$CP$3&lt;=$C24)*'Daily Closed-Cancelled'!$C$4:$CP$12)</f>
        <v>0</v>
      </c>
    </row>
    <row r="25" customFormat="false" ht="15" hidden="false" customHeight="true" outlineLevel="0" collapsed="false">
      <c r="A25" s="20" t="s">
        <v>94</v>
      </c>
      <c r="B25" s="22" t="n">
        <v>46356</v>
      </c>
      <c r="C25" s="22" t="n">
        <v>46362</v>
      </c>
      <c r="D25" s="20" t="n">
        <f aca="false">NETWORKDAYS(MAX(B25,DATE(2026,10,1)),MIN(C25,DATE(2026,12,31)))</f>
        <v>5</v>
      </c>
      <c r="E25" s="23" t="n">
        <f aca="false">SUMPRODUCT(('Daily Expected'!$A$4:$A$12=$A25)*('Daily Expected'!$C$3:$CP$3&gt;=$B25)*('Daily Expected'!$C$3:$CP$3&lt;=$C25)*'Daily Expected'!$C$4:$CP$12)</f>
        <v>9</v>
      </c>
      <c r="F25" s="23" t="n">
        <f aca="false">IF($A25="Unassigned",0,D25*'Assignment Calc'!$B$1)</f>
        <v>45</v>
      </c>
      <c r="G25" s="27" t="n">
        <f aca="false">IF(F25=0,0,E25/F25)</f>
        <v>0.2</v>
      </c>
      <c r="H25" s="20" t="str">
        <f aca="false">IF($A25="Unassigned",IF(E25&gt;0,"Unassigned hours","-"),IF(E25=0,"Unallocated",IF(E25&gt;F25+0.0001,"Over-allocated",IF(ABS(E25-F25)&lt;0.0001,"Optimally allocated","Under-allocated"))))</f>
        <v>Under-allocated</v>
      </c>
      <c r="I25" s="23" t="n">
        <f aca="false">SUMPRODUCT(('Daily Closed-Cancelled'!$A$4:$A$12=$A25)*('Daily Closed-Cancelled'!$C$3:$CP$3&gt;=$B25)*('Daily Closed-Cancelled'!$C$3:$CP$3&lt;=$C25)*'Daily Closed-Cancelled'!$C$4:$CP$12)</f>
        <v>0</v>
      </c>
    </row>
    <row r="26" customFormat="false" ht="15" hidden="false" customHeight="true" outlineLevel="0" collapsed="false">
      <c r="A26" s="20" t="s">
        <v>94</v>
      </c>
      <c r="B26" s="22" t="n">
        <v>46363</v>
      </c>
      <c r="C26" s="22" t="n">
        <v>46369</v>
      </c>
      <c r="D26" s="20" t="n">
        <f aca="false">NETWORKDAYS(MAX(B26,DATE(2026,10,1)),MIN(C26,DATE(2026,12,31)))</f>
        <v>5</v>
      </c>
      <c r="E26" s="23" t="n">
        <f aca="false">SUMPRODUCT(('Daily Expected'!$A$4:$A$12=$A26)*('Daily Expected'!$C$3:$CP$3&gt;=$B26)*('Daily Expected'!$C$3:$CP$3&lt;=$C26)*'Daily Expected'!$C$4:$CP$12)</f>
        <v>0</v>
      </c>
      <c r="F26" s="23" t="n">
        <f aca="false">IF($A26="Unassigned",0,D26*'Assignment Calc'!$B$1)</f>
        <v>45</v>
      </c>
      <c r="G26" s="27" t="n">
        <f aca="false">IF(F26=0,0,E26/F26)</f>
        <v>0</v>
      </c>
      <c r="H26" s="20" t="str">
        <f aca="false">IF($A26="Unassigned",IF(E26&gt;0,"Unassigned hours","-"),IF(E26=0,"Unallocated",IF(E26&gt;F26+0.0001,"Over-allocated",IF(ABS(E26-F26)&lt;0.0001,"Optimally allocated","Under-allocated"))))</f>
        <v>Unallocated</v>
      </c>
      <c r="I26" s="23" t="n">
        <f aca="false">SUMPRODUCT(('Daily Closed-Cancelled'!$A$4:$A$12=$A26)*('Daily Closed-Cancelled'!$C$3:$CP$3&gt;=$B26)*('Daily Closed-Cancelled'!$C$3:$CP$3&lt;=$C26)*'Daily Closed-Cancelled'!$C$4:$CP$12)</f>
        <v>0</v>
      </c>
    </row>
    <row r="27" customFormat="false" ht="15" hidden="false" customHeight="true" outlineLevel="0" collapsed="false">
      <c r="A27" s="20" t="s">
        <v>94</v>
      </c>
      <c r="B27" s="22" t="n">
        <v>46370</v>
      </c>
      <c r="C27" s="22" t="n">
        <v>46376</v>
      </c>
      <c r="D27" s="20" t="n">
        <f aca="false">NETWORKDAYS(MAX(B27,DATE(2026,10,1)),MIN(C27,DATE(2026,12,31)))</f>
        <v>5</v>
      </c>
      <c r="E27" s="23" t="n">
        <f aca="false">SUMPRODUCT(('Daily Expected'!$A$4:$A$12=$A27)*('Daily Expected'!$C$3:$CP$3&gt;=$B27)*('Daily Expected'!$C$3:$CP$3&lt;=$C27)*'Daily Expected'!$C$4:$CP$12)</f>
        <v>47.5</v>
      </c>
      <c r="F27" s="23" t="n">
        <f aca="false">IF($A27="Unassigned",0,D27*'Assignment Calc'!$B$1)</f>
        <v>45</v>
      </c>
      <c r="G27" s="27" t="n">
        <f aca="false">IF(F27=0,0,E27/F27)</f>
        <v>1.05555555555556</v>
      </c>
      <c r="H27" s="20" t="str">
        <f aca="false">IF($A27="Unassigned",IF(E27&gt;0,"Unassigned hours","-"),IF(E27=0,"Unallocated",IF(E27&gt;F27+0.0001,"Over-allocated",IF(ABS(E27-F27)&lt;0.0001,"Optimally allocated","Under-allocated"))))</f>
        <v>Over-allocated</v>
      </c>
      <c r="I27" s="23" t="n">
        <f aca="false">SUMPRODUCT(('Daily Closed-Cancelled'!$A$4:$A$12=$A27)*('Daily Closed-Cancelled'!$C$3:$CP$3&gt;=$B27)*('Daily Closed-Cancelled'!$C$3:$CP$3&lt;=$C27)*'Daily Closed-Cancelled'!$C$4:$CP$12)</f>
        <v>22.5</v>
      </c>
    </row>
    <row r="28" customFormat="false" ht="15" hidden="false" customHeight="true" outlineLevel="0" collapsed="false">
      <c r="A28" s="20" t="s">
        <v>94</v>
      </c>
      <c r="B28" s="22" t="n">
        <v>46377</v>
      </c>
      <c r="C28" s="22" t="n">
        <v>46383</v>
      </c>
      <c r="D28" s="20" t="n">
        <f aca="false">NETWORKDAYS(MAX(B28,DATE(2026,10,1)),MIN(C28,DATE(2026,12,31)))</f>
        <v>5</v>
      </c>
      <c r="E28" s="23" t="n">
        <f aca="false">SUMPRODUCT(('Daily Expected'!$A$4:$A$12=$A28)*('Daily Expected'!$C$3:$CP$3&gt;=$B28)*('Daily Expected'!$C$3:$CP$3&lt;=$C28)*'Daily Expected'!$C$4:$CP$12)</f>
        <v>45</v>
      </c>
      <c r="F28" s="23" t="n">
        <f aca="false">IF($A28="Unassigned",0,D28*'Assignment Calc'!$B$1)</f>
        <v>45</v>
      </c>
      <c r="G28" s="27" t="n">
        <f aca="false">IF(F28=0,0,E28/F28)</f>
        <v>1</v>
      </c>
      <c r="H28" s="20" t="str">
        <f aca="false">IF($A28="Unassigned",IF(E28&gt;0,"Unassigned hours","-"),IF(E28=0,"Unallocated",IF(E28&gt;F28+0.0001,"Over-allocated",IF(ABS(E28-F28)&lt;0.0001,"Optimally allocated","Under-allocated"))))</f>
        <v>Optimally allocated</v>
      </c>
      <c r="I28" s="23" t="n">
        <f aca="false">SUMPRODUCT(('Daily Closed-Cancelled'!$A$4:$A$12=$A28)*('Daily Closed-Cancelled'!$C$3:$CP$3&gt;=$B28)*('Daily Closed-Cancelled'!$C$3:$CP$3&lt;=$C28)*'Daily Closed-Cancelled'!$C$4:$CP$12)</f>
        <v>45</v>
      </c>
    </row>
    <row r="29" customFormat="false" ht="15" hidden="false" customHeight="true" outlineLevel="0" collapsed="false">
      <c r="A29" s="20" t="s">
        <v>94</v>
      </c>
      <c r="B29" s="22" t="n">
        <v>46384</v>
      </c>
      <c r="C29" s="22" t="n">
        <v>46390</v>
      </c>
      <c r="D29" s="20" t="n">
        <f aca="false">NETWORKDAYS(MAX(B29,DATE(2026,10,1)),MIN(C29,DATE(2026,12,31)))</f>
        <v>4</v>
      </c>
      <c r="E29" s="23" t="n">
        <f aca="false">SUMPRODUCT(('Daily Expected'!$A$4:$A$12=$A29)*('Daily Expected'!$C$3:$CP$3&gt;=$B29)*('Daily Expected'!$C$3:$CP$3&lt;=$C29)*'Daily Expected'!$C$4:$CP$12)</f>
        <v>34</v>
      </c>
      <c r="F29" s="23" t="n">
        <f aca="false">IF($A29="Unassigned",0,D29*'Assignment Calc'!$B$1)</f>
        <v>36</v>
      </c>
      <c r="G29" s="27" t="n">
        <f aca="false">IF(F29=0,0,E29/F29)</f>
        <v>0.944444444444444</v>
      </c>
      <c r="H29" s="20" t="str">
        <f aca="false">IF($A29="Unassigned",IF(E29&gt;0,"Unassigned hours","-"),IF(E29=0,"Unallocated",IF(E29&gt;F29+0.0001,"Over-allocated",IF(ABS(E29-F29)&lt;0.0001,"Optimally allocated","Under-allocated"))))</f>
        <v>Under-allocated</v>
      </c>
      <c r="I29" s="23" t="n">
        <f aca="false">SUMPRODUCT(('Daily Closed-Cancelled'!$A$4:$A$12=$A29)*('Daily Closed-Cancelled'!$C$3:$CP$3&gt;=$B29)*('Daily Closed-Cancelled'!$C$3:$CP$3&lt;=$C29)*'Daily Closed-Cancelled'!$C$4:$CP$12)</f>
        <v>0</v>
      </c>
    </row>
    <row r="30" customFormat="false" ht="15" hidden="false" customHeight="true" outlineLevel="0" collapsed="false">
      <c r="A30" s="20" t="s">
        <v>117</v>
      </c>
      <c r="B30" s="22" t="n">
        <v>46293</v>
      </c>
      <c r="C30" s="22" t="n">
        <v>46299</v>
      </c>
      <c r="D30" s="20" t="n">
        <f aca="false">NETWORKDAYS(MAX(B30,DATE(2026,10,1)),MIN(C30,DATE(2026,12,31)))</f>
        <v>2</v>
      </c>
      <c r="E30" s="23" t="n">
        <f aca="false">SUMPRODUCT(('Daily Expected'!$A$4:$A$12=$A30)*('Daily Expected'!$C$3:$CP$3&gt;=$B30)*('Daily Expected'!$C$3:$CP$3&lt;=$C30)*'Daily Expected'!$C$4:$CP$12)</f>
        <v>9</v>
      </c>
      <c r="F30" s="23" t="n">
        <f aca="false">IF($A30="Unassigned",0,D30*'Assignment Calc'!$B$1)</f>
        <v>18</v>
      </c>
      <c r="G30" s="27" t="n">
        <f aca="false">IF(F30=0,0,E30/F30)</f>
        <v>0.5</v>
      </c>
      <c r="H30" s="20" t="str">
        <f aca="false">IF($A30="Unassigned",IF(E30&gt;0,"Unassigned hours","-"),IF(E30=0,"Unallocated",IF(E30&gt;F30+0.0001,"Over-allocated",IF(ABS(E30-F30)&lt;0.0001,"Optimally allocated","Under-allocated"))))</f>
        <v>Under-allocated</v>
      </c>
      <c r="I30" s="23" t="n">
        <f aca="false">SUMPRODUCT(('Daily Closed-Cancelled'!$A$4:$A$12=$A30)*('Daily Closed-Cancelled'!$C$3:$CP$3&gt;=$B30)*('Daily Closed-Cancelled'!$C$3:$CP$3&lt;=$C30)*'Daily Closed-Cancelled'!$C$4:$CP$12)</f>
        <v>0</v>
      </c>
    </row>
    <row r="31" customFormat="false" ht="15" hidden="false" customHeight="true" outlineLevel="0" collapsed="false">
      <c r="A31" s="20" t="s">
        <v>117</v>
      </c>
      <c r="B31" s="22" t="n">
        <v>46300</v>
      </c>
      <c r="C31" s="22" t="n">
        <v>46306</v>
      </c>
      <c r="D31" s="20" t="n">
        <f aca="false">NETWORKDAYS(MAX(B31,DATE(2026,10,1)),MIN(C31,DATE(2026,12,31)))</f>
        <v>5</v>
      </c>
      <c r="E31" s="23" t="n">
        <f aca="false">SUMPRODUCT(('Daily Expected'!$A$4:$A$12=$A31)*('Daily Expected'!$C$3:$CP$3&gt;=$B31)*('Daily Expected'!$C$3:$CP$3&lt;=$C31)*'Daily Expected'!$C$4:$CP$12)</f>
        <v>37.5</v>
      </c>
      <c r="F31" s="23" t="n">
        <f aca="false">IF($A31="Unassigned",0,D31*'Assignment Calc'!$B$1)</f>
        <v>45</v>
      </c>
      <c r="G31" s="27" t="n">
        <f aca="false">IF(F31=0,0,E31/F31)</f>
        <v>0.833333333333333</v>
      </c>
      <c r="H31" s="20" t="str">
        <f aca="false">IF($A31="Unassigned",IF(E31&gt;0,"Unassigned hours","-"),IF(E31=0,"Unallocated",IF(E31&gt;F31+0.0001,"Over-allocated",IF(ABS(E31-F31)&lt;0.0001,"Optimally allocated","Under-allocated"))))</f>
        <v>Under-allocated</v>
      </c>
      <c r="I31" s="23" t="n">
        <f aca="false">SUMPRODUCT(('Daily Closed-Cancelled'!$A$4:$A$12=$A31)*('Daily Closed-Cancelled'!$C$3:$CP$3&gt;=$B31)*('Daily Closed-Cancelled'!$C$3:$CP$3&lt;=$C31)*'Daily Closed-Cancelled'!$C$4:$CP$12)</f>
        <v>0</v>
      </c>
    </row>
    <row r="32" customFormat="false" ht="15" hidden="false" customHeight="true" outlineLevel="0" collapsed="false">
      <c r="A32" s="20" t="s">
        <v>117</v>
      </c>
      <c r="B32" s="22" t="n">
        <v>46307</v>
      </c>
      <c r="C32" s="22" t="n">
        <v>46313</v>
      </c>
      <c r="D32" s="20" t="n">
        <f aca="false">NETWORKDAYS(MAX(B32,DATE(2026,10,1)),MIN(C32,DATE(2026,12,31)))</f>
        <v>5</v>
      </c>
      <c r="E32" s="23" t="n">
        <f aca="false">SUMPRODUCT(('Daily Expected'!$A$4:$A$12=$A32)*('Daily Expected'!$C$3:$CP$3&gt;=$B32)*('Daily Expected'!$C$3:$CP$3&lt;=$C32)*'Daily Expected'!$C$4:$CP$12)</f>
        <v>22.5</v>
      </c>
      <c r="F32" s="23" t="n">
        <f aca="false">IF($A32="Unassigned",0,D32*'Assignment Calc'!$B$1)</f>
        <v>45</v>
      </c>
      <c r="G32" s="27" t="n">
        <f aca="false">IF(F32=0,0,E32/F32)</f>
        <v>0.5</v>
      </c>
      <c r="H32" s="20" t="str">
        <f aca="false">IF($A32="Unassigned",IF(E32&gt;0,"Unassigned hours","-"),IF(E32=0,"Unallocated",IF(E32&gt;F32+0.0001,"Over-allocated",IF(ABS(E32-F32)&lt;0.0001,"Optimally allocated","Under-allocated"))))</f>
        <v>Under-allocated</v>
      </c>
      <c r="I32" s="23" t="n">
        <f aca="false">SUMPRODUCT(('Daily Closed-Cancelled'!$A$4:$A$12=$A32)*('Daily Closed-Cancelled'!$C$3:$CP$3&gt;=$B32)*('Daily Closed-Cancelled'!$C$3:$CP$3&lt;=$C32)*'Daily Closed-Cancelled'!$C$4:$CP$12)</f>
        <v>0</v>
      </c>
    </row>
    <row r="33" customFormat="false" ht="15" hidden="false" customHeight="true" outlineLevel="0" collapsed="false">
      <c r="A33" s="20" t="s">
        <v>117</v>
      </c>
      <c r="B33" s="22" t="n">
        <v>46314</v>
      </c>
      <c r="C33" s="22" t="n">
        <v>46320</v>
      </c>
      <c r="D33" s="20" t="n">
        <f aca="false">NETWORKDAYS(MAX(B33,DATE(2026,10,1)),MIN(C33,DATE(2026,12,31)))</f>
        <v>5</v>
      </c>
      <c r="E33" s="23" t="n">
        <f aca="false">SUMPRODUCT(('Daily Expected'!$A$4:$A$12=$A33)*('Daily Expected'!$C$3:$CP$3&gt;=$B33)*('Daily Expected'!$C$3:$CP$3&lt;=$C33)*'Daily Expected'!$C$4:$CP$12)</f>
        <v>82.5</v>
      </c>
      <c r="F33" s="23" t="n">
        <f aca="false">IF($A33="Unassigned",0,D33*'Assignment Calc'!$B$1)</f>
        <v>45</v>
      </c>
      <c r="G33" s="27" t="n">
        <f aca="false">IF(F33=0,0,E33/F33)</f>
        <v>1.83333333333333</v>
      </c>
      <c r="H33" s="20" t="str">
        <f aca="false">IF($A33="Unassigned",IF(E33&gt;0,"Unassigned hours","-"),IF(E33=0,"Unallocated",IF(E33&gt;F33+0.0001,"Over-allocated",IF(ABS(E33-F33)&lt;0.0001,"Optimally allocated","Under-allocated"))))</f>
        <v>Over-allocated</v>
      </c>
      <c r="I33" s="23" t="n">
        <f aca="false">SUMPRODUCT(('Daily Closed-Cancelled'!$A$4:$A$12=$A33)*('Daily Closed-Cancelled'!$C$3:$CP$3&gt;=$B33)*('Daily Closed-Cancelled'!$C$3:$CP$3&lt;=$C33)*'Daily Closed-Cancelled'!$C$4:$CP$12)</f>
        <v>0</v>
      </c>
    </row>
    <row r="34" customFormat="false" ht="15" hidden="false" customHeight="true" outlineLevel="0" collapsed="false">
      <c r="A34" s="20" t="s">
        <v>117</v>
      </c>
      <c r="B34" s="22" t="n">
        <v>46321</v>
      </c>
      <c r="C34" s="22" t="n">
        <v>46327</v>
      </c>
      <c r="D34" s="20" t="n">
        <f aca="false">NETWORKDAYS(MAX(B34,DATE(2026,10,1)),MIN(C34,DATE(2026,12,31)))</f>
        <v>5</v>
      </c>
      <c r="E34" s="23" t="n">
        <f aca="false">SUMPRODUCT(('Daily Expected'!$A$4:$A$12=$A34)*('Daily Expected'!$C$3:$CP$3&gt;=$B34)*('Daily Expected'!$C$3:$CP$3&lt;=$C34)*'Daily Expected'!$C$4:$CP$12)</f>
        <v>67.5</v>
      </c>
      <c r="F34" s="23" t="n">
        <f aca="false">IF($A34="Unassigned",0,D34*'Assignment Calc'!$B$1)</f>
        <v>45</v>
      </c>
      <c r="G34" s="27" t="n">
        <f aca="false">IF(F34=0,0,E34/F34)</f>
        <v>1.5</v>
      </c>
      <c r="H34" s="20" t="str">
        <f aca="false">IF($A34="Unassigned",IF(E34&gt;0,"Unassigned hours","-"),IF(E34=0,"Unallocated",IF(E34&gt;F34+0.0001,"Over-allocated",IF(ABS(E34-F34)&lt;0.0001,"Optimally allocated","Under-allocated"))))</f>
        <v>Over-allocated</v>
      </c>
      <c r="I34" s="23" t="n">
        <f aca="false">SUMPRODUCT(('Daily Closed-Cancelled'!$A$4:$A$12=$A34)*('Daily Closed-Cancelled'!$C$3:$CP$3&gt;=$B34)*('Daily Closed-Cancelled'!$C$3:$CP$3&lt;=$C34)*'Daily Closed-Cancelled'!$C$4:$CP$12)</f>
        <v>0</v>
      </c>
    </row>
    <row r="35" customFormat="false" ht="15" hidden="false" customHeight="true" outlineLevel="0" collapsed="false">
      <c r="A35" s="20" t="s">
        <v>117</v>
      </c>
      <c r="B35" s="22" t="n">
        <v>46328</v>
      </c>
      <c r="C35" s="22" t="n">
        <v>46334</v>
      </c>
      <c r="D35" s="20" t="n">
        <f aca="false">NETWORKDAYS(MAX(B35,DATE(2026,10,1)),MIN(C35,DATE(2026,12,31)))</f>
        <v>5</v>
      </c>
      <c r="E35" s="23" t="n">
        <f aca="false">SUMPRODUCT(('Daily Expected'!$A$4:$A$12=$A35)*('Daily Expected'!$C$3:$CP$3&gt;=$B35)*('Daily Expected'!$C$3:$CP$3&lt;=$C35)*'Daily Expected'!$C$4:$CP$12)</f>
        <v>0</v>
      </c>
      <c r="F35" s="23" t="n">
        <f aca="false">IF($A35="Unassigned",0,D35*'Assignment Calc'!$B$1)</f>
        <v>45</v>
      </c>
      <c r="G35" s="27" t="n">
        <f aca="false">IF(F35=0,0,E35/F35)</f>
        <v>0</v>
      </c>
      <c r="H35" s="20" t="str">
        <f aca="false">IF($A35="Unassigned",IF(E35&gt;0,"Unassigned hours","-"),IF(E35=0,"Unallocated",IF(E35&gt;F35+0.0001,"Over-allocated",IF(ABS(E35-F35)&lt;0.0001,"Optimally allocated","Under-allocated"))))</f>
        <v>Unallocated</v>
      </c>
      <c r="I35" s="23" t="n">
        <f aca="false">SUMPRODUCT(('Daily Closed-Cancelled'!$A$4:$A$12=$A35)*('Daily Closed-Cancelled'!$C$3:$CP$3&gt;=$B35)*('Daily Closed-Cancelled'!$C$3:$CP$3&lt;=$C35)*'Daily Closed-Cancelled'!$C$4:$CP$12)</f>
        <v>0</v>
      </c>
    </row>
    <row r="36" customFormat="false" ht="15" hidden="false" customHeight="true" outlineLevel="0" collapsed="false">
      <c r="A36" s="20" t="s">
        <v>117</v>
      </c>
      <c r="B36" s="22" t="n">
        <v>46335</v>
      </c>
      <c r="C36" s="22" t="n">
        <v>46341</v>
      </c>
      <c r="D36" s="20" t="n">
        <f aca="false">NETWORKDAYS(MAX(B36,DATE(2026,10,1)),MIN(C36,DATE(2026,12,31)))</f>
        <v>5</v>
      </c>
      <c r="E36" s="23" t="n">
        <f aca="false">SUMPRODUCT(('Daily Expected'!$A$4:$A$12=$A36)*('Daily Expected'!$C$3:$CP$3&gt;=$B36)*('Daily Expected'!$C$3:$CP$3&lt;=$C36)*'Daily Expected'!$C$4:$CP$12)</f>
        <v>67.5</v>
      </c>
      <c r="F36" s="23" t="n">
        <f aca="false">IF($A36="Unassigned",0,D36*'Assignment Calc'!$B$1)</f>
        <v>45</v>
      </c>
      <c r="G36" s="27" t="n">
        <f aca="false">IF(F36=0,0,E36/F36)</f>
        <v>1.5</v>
      </c>
      <c r="H36" s="20" t="str">
        <f aca="false">IF($A36="Unassigned",IF(E36&gt;0,"Unassigned hours","-"),IF(E36=0,"Unallocated",IF(E36&gt;F36+0.0001,"Over-allocated",IF(ABS(E36-F36)&lt;0.0001,"Optimally allocated","Under-allocated"))))</f>
        <v>Over-allocated</v>
      </c>
      <c r="I36" s="23" t="n">
        <f aca="false">SUMPRODUCT(('Daily Closed-Cancelled'!$A$4:$A$12=$A36)*('Daily Closed-Cancelled'!$C$3:$CP$3&gt;=$B36)*('Daily Closed-Cancelled'!$C$3:$CP$3&lt;=$C36)*'Daily Closed-Cancelled'!$C$4:$CP$12)</f>
        <v>0</v>
      </c>
    </row>
    <row r="37" customFormat="false" ht="15" hidden="false" customHeight="true" outlineLevel="0" collapsed="false">
      <c r="A37" s="20" t="s">
        <v>117</v>
      </c>
      <c r="B37" s="22" t="n">
        <v>46342</v>
      </c>
      <c r="C37" s="22" t="n">
        <v>46348</v>
      </c>
      <c r="D37" s="20" t="n">
        <f aca="false">NETWORKDAYS(MAX(B37,DATE(2026,10,1)),MIN(C37,DATE(2026,12,31)))</f>
        <v>5</v>
      </c>
      <c r="E37" s="23" t="n">
        <f aca="false">SUMPRODUCT(('Daily Expected'!$A$4:$A$12=$A37)*('Daily Expected'!$C$3:$CP$3&gt;=$B37)*('Daily Expected'!$C$3:$CP$3&lt;=$C37)*'Daily Expected'!$C$4:$CP$12)</f>
        <v>45</v>
      </c>
      <c r="F37" s="23" t="n">
        <f aca="false">IF($A37="Unassigned",0,D37*'Assignment Calc'!$B$1)</f>
        <v>45</v>
      </c>
      <c r="G37" s="27" t="n">
        <f aca="false">IF(F37=0,0,E37/F37)</f>
        <v>1</v>
      </c>
      <c r="H37" s="20" t="str">
        <f aca="false">IF($A37="Unassigned",IF(E37&gt;0,"Unassigned hours","-"),IF(E37=0,"Unallocated",IF(E37&gt;F37+0.0001,"Over-allocated",IF(ABS(E37-F37)&lt;0.0001,"Optimally allocated","Under-allocated"))))</f>
        <v>Optimally allocated</v>
      </c>
      <c r="I37" s="23" t="n">
        <f aca="false">SUMPRODUCT(('Daily Closed-Cancelled'!$A$4:$A$12=$A37)*('Daily Closed-Cancelled'!$C$3:$CP$3&gt;=$B37)*('Daily Closed-Cancelled'!$C$3:$CP$3&lt;=$C37)*'Daily Closed-Cancelled'!$C$4:$CP$12)</f>
        <v>45</v>
      </c>
    </row>
    <row r="38" customFormat="false" ht="15" hidden="false" customHeight="true" outlineLevel="0" collapsed="false">
      <c r="A38" s="20" t="s">
        <v>117</v>
      </c>
      <c r="B38" s="22" t="n">
        <v>46349</v>
      </c>
      <c r="C38" s="22" t="n">
        <v>46355</v>
      </c>
      <c r="D38" s="20" t="n">
        <f aca="false">NETWORKDAYS(MAX(B38,DATE(2026,10,1)),MIN(C38,DATE(2026,12,31)))</f>
        <v>5</v>
      </c>
      <c r="E38" s="23" t="n">
        <f aca="false">SUMPRODUCT(('Daily Expected'!$A$4:$A$12=$A38)*('Daily Expected'!$C$3:$CP$3&gt;=$B38)*('Daily Expected'!$C$3:$CP$3&lt;=$C38)*'Daily Expected'!$C$4:$CP$12)</f>
        <v>11.25</v>
      </c>
      <c r="F38" s="23" t="n">
        <f aca="false">IF($A38="Unassigned",0,D38*'Assignment Calc'!$B$1)</f>
        <v>45</v>
      </c>
      <c r="G38" s="27" t="n">
        <f aca="false">IF(F38=0,0,E38/F38)</f>
        <v>0.25</v>
      </c>
      <c r="H38" s="20" t="str">
        <f aca="false">IF($A38="Unassigned",IF(E38&gt;0,"Unassigned hours","-"),IF(E38=0,"Unallocated",IF(E38&gt;F38+0.0001,"Over-allocated",IF(ABS(E38-F38)&lt;0.0001,"Optimally allocated","Under-allocated"))))</f>
        <v>Under-allocated</v>
      </c>
      <c r="I38" s="23" t="n">
        <f aca="false">SUMPRODUCT(('Daily Closed-Cancelled'!$A$4:$A$12=$A38)*('Daily Closed-Cancelled'!$C$3:$CP$3&gt;=$B38)*('Daily Closed-Cancelled'!$C$3:$CP$3&lt;=$C38)*'Daily Closed-Cancelled'!$C$4:$CP$12)</f>
        <v>11.25</v>
      </c>
    </row>
    <row r="39" customFormat="false" ht="15" hidden="false" customHeight="true" outlineLevel="0" collapsed="false">
      <c r="A39" s="20" t="s">
        <v>117</v>
      </c>
      <c r="B39" s="22" t="n">
        <v>46356</v>
      </c>
      <c r="C39" s="22" t="n">
        <v>46362</v>
      </c>
      <c r="D39" s="20" t="n">
        <f aca="false">NETWORKDAYS(MAX(B39,DATE(2026,10,1)),MIN(C39,DATE(2026,12,31)))</f>
        <v>5</v>
      </c>
      <c r="E39" s="23" t="n">
        <f aca="false">SUMPRODUCT(('Daily Expected'!$A$4:$A$12=$A39)*('Daily Expected'!$C$3:$CP$3&gt;=$B39)*('Daily Expected'!$C$3:$CP$3&lt;=$C39)*'Daily Expected'!$C$4:$CP$12)</f>
        <v>13.5</v>
      </c>
      <c r="F39" s="23" t="n">
        <f aca="false">IF($A39="Unassigned",0,D39*'Assignment Calc'!$B$1)</f>
        <v>45</v>
      </c>
      <c r="G39" s="27" t="n">
        <f aca="false">IF(F39=0,0,E39/F39)</f>
        <v>0.3</v>
      </c>
      <c r="H39" s="20" t="str">
        <f aca="false">IF($A39="Unassigned",IF(E39&gt;0,"Unassigned hours","-"),IF(E39=0,"Unallocated",IF(E39&gt;F39+0.0001,"Over-allocated",IF(ABS(E39-F39)&lt;0.0001,"Optimally allocated","Under-allocated"))))</f>
        <v>Under-allocated</v>
      </c>
      <c r="I39" s="23" t="n">
        <f aca="false">SUMPRODUCT(('Daily Closed-Cancelled'!$A$4:$A$12=$A39)*('Daily Closed-Cancelled'!$C$3:$CP$3&gt;=$B39)*('Daily Closed-Cancelled'!$C$3:$CP$3&lt;=$C39)*'Daily Closed-Cancelled'!$C$4:$CP$12)</f>
        <v>4.5</v>
      </c>
    </row>
    <row r="40" customFormat="false" ht="15" hidden="false" customHeight="true" outlineLevel="0" collapsed="false">
      <c r="A40" s="20" t="s">
        <v>117</v>
      </c>
      <c r="B40" s="22" t="n">
        <v>46363</v>
      </c>
      <c r="C40" s="22" t="n">
        <v>46369</v>
      </c>
      <c r="D40" s="20" t="n">
        <f aca="false">NETWORKDAYS(MAX(B40,DATE(2026,10,1)),MIN(C40,DATE(2026,12,31)))</f>
        <v>5</v>
      </c>
      <c r="E40" s="23" t="n">
        <f aca="false">SUMPRODUCT(('Daily Expected'!$A$4:$A$12=$A40)*('Daily Expected'!$C$3:$CP$3&gt;=$B40)*('Daily Expected'!$C$3:$CP$3&lt;=$C40)*'Daily Expected'!$C$4:$CP$12)</f>
        <v>75</v>
      </c>
      <c r="F40" s="23" t="n">
        <f aca="false">IF($A40="Unassigned",0,D40*'Assignment Calc'!$B$1)</f>
        <v>45</v>
      </c>
      <c r="G40" s="27" t="n">
        <f aca="false">IF(F40=0,0,E40/F40)</f>
        <v>1.66666666666667</v>
      </c>
      <c r="H40" s="20" t="str">
        <f aca="false">IF($A40="Unassigned",IF(E40&gt;0,"Unassigned hours","-"),IF(E40=0,"Unallocated",IF(E40&gt;F40+0.0001,"Over-allocated",IF(ABS(E40-F40)&lt;0.0001,"Optimally allocated","Under-allocated"))))</f>
        <v>Over-allocated</v>
      </c>
      <c r="I40" s="23" t="n">
        <f aca="false">SUMPRODUCT(('Daily Closed-Cancelled'!$A$4:$A$12=$A40)*('Daily Closed-Cancelled'!$C$3:$CP$3&gt;=$B40)*('Daily Closed-Cancelled'!$C$3:$CP$3&lt;=$C40)*'Daily Closed-Cancelled'!$C$4:$CP$12)</f>
        <v>0</v>
      </c>
    </row>
    <row r="41" customFormat="false" ht="15" hidden="false" customHeight="true" outlineLevel="0" collapsed="false">
      <c r="A41" s="20" t="s">
        <v>117</v>
      </c>
      <c r="B41" s="22" t="n">
        <v>46370</v>
      </c>
      <c r="C41" s="22" t="n">
        <v>46376</v>
      </c>
      <c r="D41" s="20" t="n">
        <f aca="false">NETWORKDAYS(MAX(B41,DATE(2026,10,1)),MIN(C41,DATE(2026,12,31)))</f>
        <v>5</v>
      </c>
      <c r="E41" s="23" t="n">
        <f aca="false">SUMPRODUCT(('Daily Expected'!$A$4:$A$12=$A41)*('Daily Expected'!$C$3:$CP$3&gt;=$B41)*('Daily Expected'!$C$3:$CP$3&lt;=$C41)*'Daily Expected'!$C$4:$CP$12)</f>
        <v>45</v>
      </c>
      <c r="F41" s="23" t="n">
        <f aca="false">IF($A41="Unassigned",0,D41*'Assignment Calc'!$B$1)</f>
        <v>45</v>
      </c>
      <c r="G41" s="27" t="n">
        <f aca="false">IF(F41=0,0,E41/F41)</f>
        <v>1</v>
      </c>
      <c r="H41" s="20" t="str">
        <f aca="false">IF($A41="Unassigned",IF(E41&gt;0,"Unassigned hours","-"),IF(E41=0,"Unallocated",IF(E41&gt;F41+0.0001,"Over-allocated",IF(ABS(E41-F41)&lt;0.0001,"Optimally allocated","Under-allocated"))))</f>
        <v>Optimally allocated</v>
      </c>
      <c r="I41" s="23" t="n">
        <f aca="false">SUMPRODUCT(('Daily Closed-Cancelled'!$A$4:$A$12=$A41)*('Daily Closed-Cancelled'!$C$3:$CP$3&gt;=$B41)*('Daily Closed-Cancelled'!$C$3:$CP$3&lt;=$C41)*'Daily Closed-Cancelled'!$C$4:$CP$12)</f>
        <v>0</v>
      </c>
    </row>
    <row r="42" customFormat="false" ht="15" hidden="false" customHeight="true" outlineLevel="0" collapsed="false">
      <c r="A42" s="20" t="s">
        <v>117</v>
      </c>
      <c r="B42" s="22" t="n">
        <v>46377</v>
      </c>
      <c r="C42" s="22" t="n">
        <v>46383</v>
      </c>
      <c r="D42" s="20" t="n">
        <f aca="false">NETWORKDAYS(MAX(B42,DATE(2026,10,1)),MIN(C42,DATE(2026,12,31)))</f>
        <v>5</v>
      </c>
      <c r="E42" s="23" t="n">
        <f aca="false">SUMPRODUCT(('Daily Expected'!$A$4:$A$12=$A42)*('Daily Expected'!$C$3:$CP$3&gt;=$B42)*('Daily Expected'!$C$3:$CP$3&lt;=$C42)*'Daily Expected'!$C$4:$CP$12)</f>
        <v>22.5</v>
      </c>
      <c r="F42" s="23" t="n">
        <f aca="false">IF($A42="Unassigned",0,D42*'Assignment Calc'!$B$1)</f>
        <v>45</v>
      </c>
      <c r="G42" s="27" t="n">
        <f aca="false">IF(F42=0,0,E42/F42)</f>
        <v>0.5</v>
      </c>
      <c r="H42" s="20" t="str">
        <f aca="false">IF($A42="Unassigned",IF(E42&gt;0,"Unassigned hours","-"),IF(E42=0,"Unallocated",IF(E42&gt;F42+0.0001,"Over-allocated",IF(ABS(E42-F42)&lt;0.0001,"Optimally allocated","Under-allocated"))))</f>
        <v>Under-allocated</v>
      </c>
      <c r="I42" s="23" t="n">
        <f aca="false">SUMPRODUCT(('Daily Closed-Cancelled'!$A$4:$A$12=$A42)*('Daily Closed-Cancelled'!$C$3:$CP$3&gt;=$B42)*('Daily Closed-Cancelled'!$C$3:$CP$3&lt;=$C42)*'Daily Closed-Cancelled'!$C$4:$CP$12)</f>
        <v>0</v>
      </c>
    </row>
    <row r="43" customFormat="false" ht="15" hidden="false" customHeight="true" outlineLevel="0" collapsed="false">
      <c r="A43" s="20" t="s">
        <v>117</v>
      </c>
      <c r="B43" s="22" t="n">
        <v>46384</v>
      </c>
      <c r="C43" s="22" t="n">
        <v>46390</v>
      </c>
      <c r="D43" s="20" t="n">
        <f aca="false">NETWORKDAYS(MAX(B43,DATE(2026,10,1)),MIN(C43,DATE(2026,12,31)))</f>
        <v>4</v>
      </c>
      <c r="E43" s="23" t="n">
        <f aca="false">SUMPRODUCT(('Daily Expected'!$A$4:$A$12=$A43)*('Daily Expected'!$C$3:$CP$3&gt;=$B43)*('Daily Expected'!$C$3:$CP$3&lt;=$C43)*'Daily Expected'!$C$4:$CP$12)</f>
        <v>0</v>
      </c>
      <c r="F43" s="23" t="n">
        <f aca="false">IF($A43="Unassigned",0,D43*'Assignment Calc'!$B$1)</f>
        <v>36</v>
      </c>
      <c r="G43" s="27" t="n">
        <f aca="false">IF(F43=0,0,E43/F43)</f>
        <v>0</v>
      </c>
      <c r="H43" s="20" t="str">
        <f aca="false">IF($A43="Unassigned",IF(E43&gt;0,"Unassigned hours","-"),IF(E43=0,"Unallocated",IF(E43&gt;F43+0.0001,"Over-allocated",IF(ABS(E43-F43)&lt;0.0001,"Optimally allocated","Under-allocated"))))</f>
        <v>Unallocated</v>
      </c>
      <c r="I43" s="23" t="n">
        <f aca="false">SUMPRODUCT(('Daily Closed-Cancelled'!$A$4:$A$12=$A43)*('Daily Closed-Cancelled'!$C$3:$CP$3&gt;=$B43)*('Daily Closed-Cancelled'!$C$3:$CP$3&lt;=$C43)*'Daily Closed-Cancelled'!$C$4:$CP$12)</f>
        <v>0</v>
      </c>
    </row>
    <row r="44" customFormat="false" ht="15" hidden="false" customHeight="true" outlineLevel="0" collapsed="false">
      <c r="A44" s="20" t="s">
        <v>262</v>
      </c>
      <c r="B44" s="22" t="n">
        <v>46293</v>
      </c>
      <c r="C44" s="22" t="n">
        <v>46299</v>
      </c>
      <c r="D44" s="20" t="n">
        <f aca="false">NETWORKDAYS(MAX(B44,DATE(2026,10,1)),MIN(C44,DATE(2026,12,31)))</f>
        <v>2</v>
      </c>
      <c r="E44" s="23" t="n">
        <f aca="false">SUMPRODUCT(('Daily Expected'!$A$4:$A$12=$A44)*('Daily Expected'!$C$3:$CP$3&gt;=$B44)*('Daily Expected'!$C$3:$CP$3&lt;=$C44)*'Daily Expected'!$C$4:$CP$12)</f>
        <v>0</v>
      </c>
      <c r="F44" s="23" t="n">
        <f aca="false">IF($A44="Unassigned",0,D44*'Assignment Calc'!$B$1)</f>
        <v>18</v>
      </c>
      <c r="G44" s="27" t="n">
        <f aca="false">IF(F44=0,0,E44/F44)</f>
        <v>0</v>
      </c>
      <c r="H44" s="20" t="str">
        <f aca="false">IF($A44="Unassigned",IF(E44&gt;0,"Unassigned hours","-"),IF(E44=0,"Unallocated",IF(E44&gt;F44+0.0001,"Over-allocated",IF(ABS(E44-F44)&lt;0.0001,"Optimally allocated","Under-allocated"))))</f>
        <v>Unallocated</v>
      </c>
      <c r="I44" s="23" t="n">
        <f aca="false">SUMPRODUCT(('Daily Closed-Cancelled'!$A$4:$A$12=$A44)*('Daily Closed-Cancelled'!$C$3:$CP$3&gt;=$B44)*('Daily Closed-Cancelled'!$C$3:$CP$3&lt;=$C44)*'Daily Closed-Cancelled'!$C$4:$CP$12)</f>
        <v>0</v>
      </c>
    </row>
    <row r="45" customFormat="false" ht="15" hidden="false" customHeight="true" outlineLevel="0" collapsed="false">
      <c r="A45" s="20" t="s">
        <v>262</v>
      </c>
      <c r="B45" s="22" t="n">
        <v>46300</v>
      </c>
      <c r="C45" s="22" t="n">
        <v>46306</v>
      </c>
      <c r="D45" s="20" t="n">
        <f aca="false">NETWORKDAYS(MAX(B45,DATE(2026,10,1)),MIN(C45,DATE(2026,12,31)))</f>
        <v>5</v>
      </c>
      <c r="E45" s="23" t="n">
        <f aca="false">SUMPRODUCT(('Daily Expected'!$A$4:$A$12=$A45)*('Daily Expected'!$C$3:$CP$3&gt;=$B45)*('Daily Expected'!$C$3:$CP$3&lt;=$C45)*'Daily Expected'!$C$4:$CP$12)</f>
        <v>0</v>
      </c>
      <c r="F45" s="23" t="n">
        <f aca="false">IF($A45="Unassigned",0,D45*'Assignment Calc'!$B$1)</f>
        <v>45</v>
      </c>
      <c r="G45" s="27" t="n">
        <f aca="false">IF(F45=0,0,E45/F45)</f>
        <v>0</v>
      </c>
      <c r="H45" s="20" t="str">
        <f aca="false">IF($A45="Unassigned",IF(E45&gt;0,"Unassigned hours","-"),IF(E45=0,"Unallocated",IF(E45&gt;F45+0.0001,"Over-allocated",IF(ABS(E45-F45)&lt;0.0001,"Optimally allocated","Under-allocated"))))</f>
        <v>Unallocated</v>
      </c>
      <c r="I45" s="23" t="n">
        <f aca="false">SUMPRODUCT(('Daily Closed-Cancelled'!$A$4:$A$12=$A45)*('Daily Closed-Cancelled'!$C$3:$CP$3&gt;=$B45)*('Daily Closed-Cancelled'!$C$3:$CP$3&lt;=$C45)*'Daily Closed-Cancelled'!$C$4:$CP$12)</f>
        <v>0</v>
      </c>
    </row>
    <row r="46" customFormat="false" ht="15" hidden="false" customHeight="true" outlineLevel="0" collapsed="false">
      <c r="A46" s="20" t="s">
        <v>262</v>
      </c>
      <c r="B46" s="22" t="n">
        <v>46307</v>
      </c>
      <c r="C46" s="22" t="n">
        <v>46313</v>
      </c>
      <c r="D46" s="20" t="n">
        <f aca="false">NETWORKDAYS(MAX(B46,DATE(2026,10,1)),MIN(C46,DATE(2026,12,31)))</f>
        <v>5</v>
      </c>
      <c r="E46" s="23" t="n">
        <f aca="false">SUMPRODUCT(('Daily Expected'!$A$4:$A$12=$A46)*('Daily Expected'!$C$3:$CP$3&gt;=$B46)*('Daily Expected'!$C$3:$CP$3&lt;=$C46)*'Daily Expected'!$C$4:$CP$12)</f>
        <v>47.5</v>
      </c>
      <c r="F46" s="23" t="n">
        <f aca="false">IF($A46="Unassigned",0,D46*'Assignment Calc'!$B$1)</f>
        <v>45</v>
      </c>
      <c r="G46" s="27" t="n">
        <f aca="false">IF(F46=0,0,E46/F46)</f>
        <v>1.05555555555556</v>
      </c>
      <c r="H46" s="20" t="str">
        <f aca="false">IF($A46="Unassigned",IF(E46&gt;0,"Unassigned hours","-"),IF(E46=0,"Unallocated",IF(E46&gt;F46+0.0001,"Over-allocated",IF(ABS(E46-F46)&lt;0.0001,"Optimally allocated","Under-allocated"))))</f>
        <v>Over-allocated</v>
      </c>
      <c r="I46" s="23" t="n">
        <f aca="false">SUMPRODUCT(('Daily Closed-Cancelled'!$A$4:$A$12=$A46)*('Daily Closed-Cancelled'!$C$3:$CP$3&gt;=$B46)*('Daily Closed-Cancelled'!$C$3:$CP$3&lt;=$C46)*'Daily Closed-Cancelled'!$C$4:$CP$12)</f>
        <v>22.5</v>
      </c>
    </row>
    <row r="47" customFormat="false" ht="15" hidden="false" customHeight="true" outlineLevel="0" collapsed="false">
      <c r="A47" s="20" t="s">
        <v>262</v>
      </c>
      <c r="B47" s="22" t="n">
        <v>46314</v>
      </c>
      <c r="C47" s="22" t="n">
        <v>46320</v>
      </c>
      <c r="D47" s="20" t="n">
        <f aca="false">NETWORKDAYS(MAX(B47,DATE(2026,10,1)),MIN(C47,DATE(2026,12,31)))</f>
        <v>5</v>
      </c>
      <c r="E47" s="23" t="n">
        <f aca="false">SUMPRODUCT(('Daily Expected'!$A$4:$A$12=$A47)*('Daily Expected'!$C$3:$CP$3&gt;=$B47)*('Daily Expected'!$C$3:$CP$3&lt;=$C47)*'Daily Expected'!$C$4:$CP$12)</f>
        <v>45</v>
      </c>
      <c r="F47" s="23" t="n">
        <f aca="false">IF($A47="Unassigned",0,D47*'Assignment Calc'!$B$1)</f>
        <v>45</v>
      </c>
      <c r="G47" s="27" t="n">
        <f aca="false">IF(F47=0,0,E47/F47)</f>
        <v>1</v>
      </c>
      <c r="H47" s="20" t="str">
        <f aca="false">IF($A47="Unassigned",IF(E47&gt;0,"Unassigned hours","-"),IF(E47=0,"Unallocated",IF(E47&gt;F47+0.0001,"Over-allocated",IF(ABS(E47-F47)&lt;0.0001,"Optimally allocated","Under-allocated"))))</f>
        <v>Optimally allocated</v>
      </c>
      <c r="I47" s="23" t="n">
        <f aca="false">SUMPRODUCT(('Daily Closed-Cancelled'!$A$4:$A$12=$A47)*('Daily Closed-Cancelled'!$C$3:$CP$3&gt;=$B47)*('Daily Closed-Cancelled'!$C$3:$CP$3&lt;=$C47)*'Daily Closed-Cancelled'!$C$4:$CP$12)</f>
        <v>45</v>
      </c>
    </row>
    <row r="48" customFormat="false" ht="15" hidden="false" customHeight="true" outlineLevel="0" collapsed="false">
      <c r="A48" s="20" t="s">
        <v>262</v>
      </c>
      <c r="B48" s="22" t="n">
        <v>46321</v>
      </c>
      <c r="C48" s="22" t="n">
        <v>46327</v>
      </c>
      <c r="D48" s="20" t="n">
        <f aca="false">NETWORKDAYS(MAX(B48,DATE(2026,10,1)),MIN(C48,DATE(2026,12,31)))</f>
        <v>5</v>
      </c>
      <c r="E48" s="23" t="n">
        <f aca="false">SUMPRODUCT(('Daily Expected'!$A$4:$A$12=$A48)*('Daily Expected'!$C$3:$CP$3&gt;=$B48)*('Daily Expected'!$C$3:$CP$3&lt;=$C48)*'Daily Expected'!$C$4:$CP$12)</f>
        <v>42.5</v>
      </c>
      <c r="F48" s="23" t="n">
        <f aca="false">IF($A48="Unassigned",0,D48*'Assignment Calc'!$B$1)</f>
        <v>45</v>
      </c>
      <c r="G48" s="27" t="n">
        <f aca="false">IF(F48=0,0,E48/F48)</f>
        <v>0.944444444444444</v>
      </c>
      <c r="H48" s="20" t="str">
        <f aca="false">IF($A48="Unassigned",IF(E48&gt;0,"Unassigned hours","-"),IF(E48=0,"Unallocated",IF(E48&gt;F48+0.0001,"Over-allocated",IF(ABS(E48-F48)&lt;0.0001,"Optimally allocated","Under-allocated"))))</f>
        <v>Under-allocated</v>
      </c>
      <c r="I48" s="23" t="n">
        <f aca="false">SUMPRODUCT(('Daily Closed-Cancelled'!$A$4:$A$12=$A48)*('Daily Closed-Cancelled'!$C$3:$CP$3&gt;=$B48)*('Daily Closed-Cancelled'!$C$3:$CP$3&lt;=$C48)*'Daily Closed-Cancelled'!$C$4:$CP$12)</f>
        <v>0</v>
      </c>
    </row>
    <row r="49" customFormat="false" ht="15" hidden="false" customHeight="true" outlineLevel="0" collapsed="false">
      <c r="A49" s="20" t="s">
        <v>262</v>
      </c>
      <c r="B49" s="22" t="n">
        <v>46328</v>
      </c>
      <c r="C49" s="22" t="n">
        <v>46334</v>
      </c>
      <c r="D49" s="20" t="n">
        <f aca="false">NETWORKDAYS(MAX(B49,DATE(2026,10,1)),MIN(C49,DATE(2026,12,31)))</f>
        <v>5</v>
      </c>
      <c r="E49" s="23" t="n">
        <f aca="false">SUMPRODUCT(('Daily Expected'!$A$4:$A$12=$A49)*('Daily Expected'!$C$3:$CP$3&gt;=$B49)*('Daily Expected'!$C$3:$CP$3&lt;=$C49)*'Daily Expected'!$C$4:$CP$12)</f>
        <v>105</v>
      </c>
      <c r="F49" s="23" t="n">
        <f aca="false">IF($A49="Unassigned",0,D49*'Assignment Calc'!$B$1)</f>
        <v>45</v>
      </c>
      <c r="G49" s="27" t="n">
        <f aca="false">IF(F49=0,0,E49/F49)</f>
        <v>2.33333333333333</v>
      </c>
      <c r="H49" s="20" t="str">
        <f aca="false">IF($A49="Unassigned",IF(E49&gt;0,"Unassigned hours","-"),IF(E49=0,"Unallocated",IF(E49&gt;F49+0.0001,"Over-allocated",IF(ABS(E49-F49)&lt;0.0001,"Optimally allocated","Under-allocated"))))</f>
        <v>Over-allocated</v>
      </c>
      <c r="I49" s="23" t="n">
        <f aca="false">SUMPRODUCT(('Daily Closed-Cancelled'!$A$4:$A$12=$A49)*('Daily Closed-Cancelled'!$C$3:$CP$3&gt;=$B49)*('Daily Closed-Cancelled'!$C$3:$CP$3&lt;=$C49)*'Daily Closed-Cancelled'!$C$4:$CP$12)</f>
        <v>0</v>
      </c>
    </row>
    <row r="50" customFormat="false" ht="15" hidden="false" customHeight="true" outlineLevel="0" collapsed="false">
      <c r="A50" s="20" t="s">
        <v>262</v>
      </c>
      <c r="B50" s="22" t="n">
        <v>46335</v>
      </c>
      <c r="C50" s="22" t="n">
        <v>46341</v>
      </c>
      <c r="D50" s="20" t="n">
        <f aca="false">NETWORKDAYS(MAX(B50,DATE(2026,10,1)),MIN(C50,DATE(2026,12,31)))</f>
        <v>5</v>
      </c>
      <c r="E50" s="23" t="n">
        <f aca="false">SUMPRODUCT(('Daily Expected'!$A$4:$A$12=$A50)*('Daily Expected'!$C$3:$CP$3&gt;=$B50)*('Daily Expected'!$C$3:$CP$3&lt;=$C50)*'Daily Expected'!$C$4:$CP$12)</f>
        <v>45</v>
      </c>
      <c r="F50" s="23" t="n">
        <f aca="false">IF($A50="Unassigned",0,D50*'Assignment Calc'!$B$1)</f>
        <v>45</v>
      </c>
      <c r="G50" s="27" t="n">
        <f aca="false">IF(F50=0,0,E50/F50)</f>
        <v>1</v>
      </c>
      <c r="H50" s="20" t="str">
        <f aca="false">IF($A50="Unassigned",IF(E50&gt;0,"Unassigned hours","-"),IF(E50=0,"Unallocated",IF(E50&gt;F50+0.0001,"Over-allocated",IF(ABS(E50-F50)&lt;0.0001,"Optimally allocated","Under-allocated"))))</f>
        <v>Optimally allocated</v>
      </c>
      <c r="I50" s="23" t="n">
        <f aca="false">SUMPRODUCT(('Daily Closed-Cancelled'!$A$4:$A$12=$A50)*('Daily Closed-Cancelled'!$C$3:$CP$3&gt;=$B50)*('Daily Closed-Cancelled'!$C$3:$CP$3&lt;=$C50)*'Daily Closed-Cancelled'!$C$4:$CP$12)</f>
        <v>0</v>
      </c>
    </row>
    <row r="51" customFormat="false" ht="15" hidden="false" customHeight="true" outlineLevel="0" collapsed="false">
      <c r="A51" s="20" t="s">
        <v>262</v>
      </c>
      <c r="B51" s="22" t="n">
        <v>46342</v>
      </c>
      <c r="C51" s="22" t="n">
        <v>46348</v>
      </c>
      <c r="D51" s="20" t="n">
        <f aca="false">NETWORKDAYS(MAX(B51,DATE(2026,10,1)),MIN(C51,DATE(2026,12,31)))</f>
        <v>5</v>
      </c>
      <c r="E51" s="23" t="n">
        <f aca="false">SUMPRODUCT(('Daily Expected'!$A$4:$A$12=$A51)*('Daily Expected'!$C$3:$CP$3&gt;=$B51)*('Daily Expected'!$C$3:$CP$3&lt;=$C51)*'Daily Expected'!$C$4:$CP$12)</f>
        <v>15</v>
      </c>
      <c r="F51" s="23" t="n">
        <f aca="false">IF($A51="Unassigned",0,D51*'Assignment Calc'!$B$1)</f>
        <v>45</v>
      </c>
      <c r="G51" s="27" t="n">
        <f aca="false">IF(F51=0,0,E51/F51)</f>
        <v>0.333333333333333</v>
      </c>
      <c r="H51" s="20" t="str">
        <f aca="false">IF($A51="Unassigned",IF(E51&gt;0,"Unassigned hours","-"),IF(E51=0,"Unallocated",IF(E51&gt;F51+0.0001,"Over-allocated",IF(ABS(E51-F51)&lt;0.0001,"Optimally allocated","Under-allocated"))))</f>
        <v>Under-allocated</v>
      </c>
      <c r="I51" s="23" t="n">
        <f aca="false">SUMPRODUCT(('Daily Closed-Cancelled'!$A$4:$A$12=$A51)*('Daily Closed-Cancelled'!$C$3:$CP$3&gt;=$B51)*('Daily Closed-Cancelled'!$C$3:$CP$3&lt;=$C51)*'Daily Closed-Cancelled'!$C$4:$CP$12)</f>
        <v>0</v>
      </c>
    </row>
    <row r="52" customFormat="false" ht="15" hidden="false" customHeight="true" outlineLevel="0" collapsed="false">
      <c r="A52" s="20" t="s">
        <v>262</v>
      </c>
      <c r="B52" s="22" t="n">
        <v>46349</v>
      </c>
      <c r="C52" s="22" t="n">
        <v>46355</v>
      </c>
      <c r="D52" s="20" t="n">
        <f aca="false">NETWORKDAYS(MAX(B52,DATE(2026,10,1)),MIN(C52,DATE(2026,12,31)))</f>
        <v>5</v>
      </c>
      <c r="E52" s="23" t="n">
        <f aca="false">SUMPRODUCT(('Daily Expected'!$A$4:$A$12=$A52)*('Daily Expected'!$C$3:$CP$3&gt;=$B52)*('Daily Expected'!$C$3:$CP$3&lt;=$C52)*'Daily Expected'!$C$4:$CP$12)</f>
        <v>0</v>
      </c>
      <c r="F52" s="23" t="n">
        <f aca="false">IF($A52="Unassigned",0,D52*'Assignment Calc'!$B$1)</f>
        <v>45</v>
      </c>
      <c r="G52" s="27" t="n">
        <f aca="false">IF(F52=0,0,E52/F52)</f>
        <v>0</v>
      </c>
      <c r="H52" s="20" t="str">
        <f aca="false">IF($A52="Unassigned",IF(E52&gt;0,"Unassigned hours","-"),IF(E52=0,"Unallocated",IF(E52&gt;F52+0.0001,"Over-allocated",IF(ABS(E52-F52)&lt;0.0001,"Optimally allocated","Under-allocated"))))</f>
        <v>Unallocated</v>
      </c>
      <c r="I52" s="23" t="n">
        <f aca="false">SUMPRODUCT(('Daily Closed-Cancelled'!$A$4:$A$12=$A52)*('Daily Closed-Cancelled'!$C$3:$CP$3&gt;=$B52)*('Daily Closed-Cancelled'!$C$3:$CP$3&lt;=$C52)*'Daily Closed-Cancelled'!$C$4:$CP$12)</f>
        <v>0</v>
      </c>
    </row>
    <row r="53" customFormat="false" ht="15" hidden="false" customHeight="true" outlineLevel="0" collapsed="false">
      <c r="A53" s="20" t="s">
        <v>262</v>
      </c>
      <c r="B53" s="22" t="n">
        <v>46356</v>
      </c>
      <c r="C53" s="22" t="n">
        <v>46362</v>
      </c>
      <c r="D53" s="20" t="n">
        <f aca="false">NETWORKDAYS(MAX(B53,DATE(2026,10,1)),MIN(C53,DATE(2026,12,31)))</f>
        <v>5</v>
      </c>
      <c r="E53" s="23" t="n">
        <f aca="false">SUMPRODUCT(('Daily Expected'!$A$4:$A$12=$A53)*('Daily Expected'!$C$3:$CP$3&gt;=$B53)*('Daily Expected'!$C$3:$CP$3&lt;=$C53)*'Daily Expected'!$C$4:$CP$12)</f>
        <v>4.5</v>
      </c>
      <c r="F53" s="23" t="n">
        <f aca="false">IF($A53="Unassigned",0,D53*'Assignment Calc'!$B$1)</f>
        <v>45</v>
      </c>
      <c r="G53" s="27" t="n">
        <f aca="false">IF(F53=0,0,E53/F53)</f>
        <v>0.1</v>
      </c>
      <c r="H53" s="20" t="str">
        <f aca="false">IF($A53="Unassigned",IF(E53&gt;0,"Unassigned hours","-"),IF(E53=0,"Unallocated",IF(E53&gt;F53+0.0001,"Over-allocated",IF(ABS(E53-F53)&lt;0.0001,"Optimally allocated","Under-allocated"))))</f>
        <v>Under-allocated</v>
      </c>
      <c r="I53" s="23" t="n">
        <f aca="false">SUMPRODUCT(('Daily Closed-Cancelled'!$A$4:$A$12=$A53)*('Daily Closed-Cancelled'!$C$3:$CP$3&gt;=$B53)*('Daily Closed-Cancelled'!$C$3:$CP$3&lt;=$C53)*'Daily Closed-Cancelled'!$C$4:$CP$12)</f>
        <v>4.5</v>
      </c>
    </row>
    <row r="54" customFormat="false" ht="15" hidden="false" customHeight="true" outlineLevel="0" collapsed="false">
      <c r="A54" s="20" t="s">
        <v>262</v>
      </c>
      <c r="B54" s="22" t="n">
        <v>46363</v>
      </c>
      <c r="C54" s="22" t="n">
        <v>46369</v>
      </c>
      <c r="D54" s="20" t="n">
        <f aca="false">NETWORKDAYS(MAX(B54,DATE(2026,10,1)),MIN(C54,DATE(2026,12,31)))</f>
        <v>5</v>
      </c>
      <c r="E54" s="23" t="n">
        <f aca="false">SUMPRODUCT(('Daily Expected'!$A$4:$A$12=$A54)*('Daily Expected'!$C$3:$CP$3&gt;=$B54)*('Daily Expected'!$C$3:$CP$3&lt;=$C54)*'Daily Expected'!$C$4:$CP$12)</f>
        <v>45</v>
      </c>
      <c r="F54" s="23" t="n">
        <f aca="false">IF($A54="Unassigned",0,D54*'Assignment Calc'!$B$1)</f>
        <v>45</v>
      </c>
      <c r="G54" s="27" t="n">
        <f aca="false">IF(F54=0,0,E54/F54)</f>
        <v>1</v>
      </c>
      <c r="H54" s="20" t="str">
        <f aca="false">IF($A54="Unassigned",IF(E54&gt;0,"Unassigned hours","-"),IF(E54=0,"Unallocated",IF(E54&gt;F54+0.0001,"Over-allocated",IF(ABS(E54-F54)&lt;0.0001,"Optimally allocated","Under-allocated"))))</f>
        <v>Optimally allocated</v>
      </c>
      <c r="I54" s="23" t="n">
        <f aca="false">SUMPRODUCT(('Daily Closed-Cancelled'!$A$4:$A$12=$A54)*('Daily Closed-Cancelled'!$C$3:$CP$3&gt;=$B54)*('Daily Closed-Cancelled'!$C$3:$CP$3&lt;=$C54)*'Daily Closed-Cancelled'!$C$4:$CP$12)</f>
        <v>0</v>
      </c>
    </row>
    <row r="55" customFormat="false" ht="15" hidden="false" customHeight="true" outlineLevel="0" collapsed="false">
      <c r="A55" s="20" t="s">
        <v>262</v>
      </c>
      <c r="B55" s="22" t="n">
        <v>46370</v>
      </c>
      <c r="C55" s="22" t="n">
        <v>46376</v>
      </c>
      <c r="D55" s="20" t="n">
        <f aca="false">NETWORKDAYS(MAX(B55,DATE(2026,10,1)),MIN(C55,DATE(2026,12,31)))</f>
        <v>5</v>
      </c>
      <c r="E55" s="23" t="n">
        <f aca="false">SUMPRODUCT(('Daily Expected'!$A$4:$A$12=$A55)*('Daily Expected'!$C$3:$CP$3&gt;=$B55)*('Daily Expected'!$C$3:$CP$3&lt;=$C55)*'Daily Expected'!$C$4:$CP$12)</f>
        <v>11.25</v>
      </c>
      <c r="F55" s="23" t="n">
        <f aca="false">IF($A55="Unassigned",0,D55*'Assignment Calc'!$B$1)</f>
        <v>45</v>
      </c>
      <c r="G55" s="27" t="n">
        <f aca="false">IF(F55=0,0,E55/F55)</f>
        <v>0.25</v>
      </c>
      <c r="H55" s="20" t="str">
        <f aca="false">IF($A55="Unassigned",IF(E55&gt;0,"Unassigned hours","-"),IF(E55=0,"Unallocated",IF(E55&gt;F55+0.0001,"Over-allocated",IF(ABS(E55-F55)&lt;0.0001,"Optimally allocated","Under-allocated"))))</f>
        <v>Under-allocated</v>
      </c>
      <c r="I55" s="23" t="n">
        <f aca="false">SUMPRODUCT(('Daily Closed-Cancelled'!$A$4:$A$12=$A55)*('Daily Closed-Cancelled'!$C$3:$CP$3&gt;=$B55)*('Daily Closed-Cancelled'!$C$3:$CP$3&lt;=$C55)*'Daily Closed-Cancelled'!$C$4:$CP$12)</f>
        <v>11.25</v>
      </c>
    </row>
    <row r="56" customFormat="false" ht="15" hidden="false" customHeight="true" outlineLevel="0" collapsed="false">
      <c r="A56" s="20" t="s">
        <v>262</v>
      </c>
      <c r="B56" s="22" t="n">
        <v>46377</v>
      </c>
      <c r="C56" s="22" t="n">
        <v>46383</v>
      </c>
      <c r="D56" s="20" t="n">
        <f aca="false">NETWORKDAYS(MAX(B56,DATE(2026,10,1)),MIN(C56,DATE(2026,12,31)))</f>
        <v>5</v>
      </c>
      <c r="E56" s="23" t="n">
        <f aca="false">SUMPRODUCT(('Daily Expected'!$A$4:$A$12=$A56)*('Daily Expected'!$C$3:$CP$3&gt;=$B56)*('Daily Expected'!$C$3:$CP$3&lt;=$C56)*'Daily Expected'!$C$4:$CP$12)</f>
        <v>0</v>
      </c>
      <c r="F56" s="23" t="n">
        <f aca="false">IF($A56="Unassigned",0,D56*'Assignment Calc'!$B$1)</f>
        <v>45</v>
      </c>
      <c r="G56" s="27" t="n">
        <f aca="false">IF(F56=0,0,E56/F56)</f>
        <v>0</v>
      </c>
      <c r="H56" s="20" t="str">
        <f aca="false">IF($A56="Unassigned",IF(E56&gt;0,"Unassigned hours","-"),IF(E56=0,"Unallocated",IF(E56&gt;F56+0.0001,"Over-allocated",IF(ABS(E56-F56)&lt;0.0001,"Optimally allocated","Under-allocated"))))</f>
        <v>Unallocated</v>
      </c>
      <c r="I56" s="23" t="n">
        <f aca="false">SUMPRODUCT(('Daily Closed-Cancelled'!$A$4:$A$12=$A56)*('Daily Closed-Cancelled'!$C$3:$CP$3&gt;=$B56)*('Daily Closed-Cancelled'!$C$3:$CP$3&lt;=$C56)*'Daily Closed-Cancelled'!$C$4:$CP$12)</f>
        <v>0</v>
      </c>
    </row>
    <row r="57" customFormat="false" ht="15" hidden="false" customHeight="true" outlineLevel="0" collapsed="false">
      <c r="A57" s="20" t="s">
        <v>262</v>
      </c>
      <c r="B57" s="22" t="n">
        <v>46384</v>
      </c>
      <c r="C57" s="22" t="n">
        <v>46390</v>
      </c>
      <c r="D57" s="20" t="n">
        <f aca="false">NETWORKDAYS(MAX(B57,DATE(2026,10,1)),MIN(C57,DATE(2026,12,31)))</f>
        <v>4</v>
      </c>
      <c r="E57" s="23" t="n">
        <f aca="false">SUMPRODUCT(('Daily Expected'!$A$4:$A$12=$A57)*('Daily Expected'!$C$3:$CP$3&gt;=$B57)*('Daily Expected'!$C$3:$CP$3&lt;=$C57)*'Daily Expected'!$C$4:$CP$12)</f>
        <v>54</v>
      </c>
      <c r="F57" s="23" t="n">
        <f aca="false">IF($A57="Unassigned",0,D57*'Assignment Calc'!$B$1)</f>
        <v>36</v>
      </c>
      <c r="G57" s="27" t="n">
        <f aca="false">IF(F57=0,0,E57/F57)</f>
        <v>1.5</v>
      </c>
      <c r="H57" s="20" t="str">
        <f aca="false">IF($A57="Unassigned",IF(E57&gt;0,"Unassigned hours","-"),IF(E57=0,"Unallocated",IF(E57&gt;F57+0.0001,"Over-allocated",IF(ABS(E57-F57)&lt;0.0001,"Optimally allocated","Under-allocated"))))</f>
        <v>Over-allocated</v>
      </c>
      <c r="I57" s="23" t="n">
        <f aca="false">SUMPRODUCT(('Daily Closed-Cancelled'!$A$4:$A$12=$A57)*('Daily Closed-Cancelled'!$C$3:$CP$3&gt;=$B57)*('Daily Closed-Cancelled'!$C$3:$CP$3&lt;=$C57)*'Daily Closed-Cancelled'!$C$4:$CP$12)</f>
        <v>54</v>
      </c>
    </row>
    <row r="58" customFormat="false" ht="15" hidden="false" customHeight="true" outlineLevel="0" collapsed="false">
      <c r="A58" s="20" t="s">
        <v>298</v>
      </c>
      <c r="B58" s="22" t="n">
        <v>46293</v>
      </c>
      <c r="C58" s="22" t="n">
        <v>46299</v>
      </c>
      <c r="D58" s="20" t="n">
        <f aca="false">NETWORKDAYS(MAX(B58,DATE(2026,10,1)),MIN(C58,DATE(2026,12,31)))</f>
        <v>2</v>
      </c>
      <c r="E58" s="23" t="n">
        <f aca="false">SUMPRODUCT(('Daily Expected'!$A$4:$A$12=$A58)*('Daily Expected'!$C$3:$CP$3&gt;=$B58)*('Daily Expected'!$C$3:$CP$3&lt;=$C58)*'Daily Expected'!$C$4:$CP$12)</f>
        <v>0</v>
      </c>
      <c r="F58" s="23" t="n">
        <f aca="false">IF($A58="Unassigned",0,D58*'Assignment Calc'!$B$1)</f>
        <v>18</v>
      </c>
      <c r="G58" s="27" t="n">
        <f aca="false">IF(F58=0,0,E58/F58)</f>
        <v>0</v>
      </c>
      <c r="H58" s="20" t="str">
        <f aca="false">IF($A58="Unassigned",IF(E58&gt;0,"Unassigned hours","-"),IF(E58=0,"Unallocated",IF(E58&gt;F58+0.0001,"Over-allocated",IF(ABS(E58-F58)&lt;0.0001,"Optimally allocated","Under-allocated"))))</f>
        <v>Unallocated</v>
      </c>
      <c r="I58" s="23" t="n">
        <f aca="false">SUMPRODUCT(('Daily Closed-Cancelled'!$A$4:$A$12=$A58)*('Daily Closed-Cancelled'!$C$3:$CP$3&gt;=$B58)*('Daily Closed-Cancelled'!$C$3:$CP$3&lt;=$C58)*'Daily Closed-Cancelled'!$C$4:$CP$12)</f>
        <v>0</v>
      </c>
    </row>
    <row r="59" customFormat="false" ht="15" hidden="false" customHeight="true" outlineLevel="0" collapsed="false">
      <c r="A59" s="20" t="s">
        <v>298</v>
      </c>
      <c r="B59" s="22" t="n">
        <v>46300</v>
      </c>
      <c r="C59" s="22" t="n">
        <v>46306</v>
      </c>
      <c r="D59" s="20" t="n">
        <f aca="false">NETWORKDAYS(MAX(B59,DATE(2026,10,1)),MIN(C59,DATE(2026,12,31)))</f>
        <v>5</v>
      </c>
      <c r="E59" s="23" t="n">
        <f aca="false">SUMPRODUCT(('Daily Expected'!$A$4:$A$12=$A59)*('Daily Expected'!$C$3:$CP$3&gt;=$B59)*('Daily Expected'!$C$3:$CP$3&lt;=$C59)*'Daily Expected'!$C$4:$CP$12)</f>
        <v>52.5</v>
      </c>
      <c r="F59" s="23" t="n">
        <f aca="false">IF($A59="Unassigned",0,D59*'Assignment Calc'!$B$1)</f>
        <v>45</v>
      </c>
      <c r="G59" s="27" t="n">
        <f aca="false">IF(F59=0,0,E59/F59)</f>
        <v>1.16666666666667</v>
      </c>
      <c r="H59" s="20" t="str">
        <f aca="false">IF($A59="Unassigned",IF(E59&gt;0,"Unassigned hours","-"),IF(E59=0,"Unallocated",IF(E59&gt;F59+0.0001,"Over-allocated",IF(ABS(E59-F59)&lt;0.0001,"Optimally allocated","Under-allocated"))))</f>
        <v>Over-allocated</v>
      </c>
      <c r="I59" s="23" t="n">
        <f aca="false">SUMPRODUCT(('Daily Closed-Cancelled'!$A$4:$A$12=$A59)*('Daily Closed-Cancelled'!$C$3:$CP$3&gt;=$B59)*('Daily Closed-Cancelled'!$C$3:$CP$3&lt;=$C59)*'Daily Closed-Cancelled'!$C$4:$CP$12)</f>
        <v>0</v>
      </c>
    </row>
    <row r="60" customFormat="false" ht="15" hidden="false" customHeight="true" outlineLevel="0" collapsed="false">
      <c r="A60" s="20" t="s">
        <v>298</v>
      </c>
      <c r="B60" s="22" t="n">
        <v>46307</v>
      </c>
      <c r="C60" s="22" t="n">
        <v>46313</v>
      </c>
      <c r="D60" s="20" t="n">
        <f aca="false">NETWORKDAYS(MAX(B60,DATE(2026,10,1)),MIN(C60,DATE(2026,12,31)))</f>
        <v>5</v>
      </c>
      <c r="E60" s="23" t="n">
        <f aca="false">SUMPRODUCT(('Daily Expected'!$A$4:$A$12=$A60)*('Daily Expected'!$C$3:$CP$3&gt;=$B60)*('Daily Expected'!$C$3:$CP$3&lt;=$C60)*'Daily Expected'!$C$4:$CP$12)</f>
        <v>45</v>
      </c>
      <c r="F60" s="23" t="n">
        <f aca="false">IF($A60="Unassigned",0,D60*'Assignment Calc'!$B$1)</f>
        <v>45</v>
      </c>
      <c r="G60" s="27" t="n">
        <f aca="false">IF(F60=0,0,E60/F60)</f>
        <v>1</v>
      </c>
      <c r="H60" s="20" t="str">
        <f aca="false">IF($A60="Unassigned",IF(E60&gt;0,"Unassigned hours","-"),IF(E60=0,"Unallocated",IF(E60&gt;F60+0.0001,"Over-allocated",IF(ABS(E60-F60)&lt;0.0001,"Optimally allocated","Under-allocated"))))</f>
        <v>Optimally allocated</v>
      </c>
      <c r="I60" s="23" t="n">
        <f aca="false">SUMPRODUCT(('Daily Closed-Cancelled'!$A$4:$A$12=$A60)*('Daily Closed-Cancelled'!$C$3:$CP$3&gt;=$B60)*('Daily Closed-Cancelled'!$C$3:$CP$3&lt;=$C60)*'Daily Closed-Cancelled'!$C$4:$CP$12)</f>
        <v>0</v>
      </c>
    </row>
    <row r="61" customFormat="false" ht="15" hidden="false" customHeight="true" outlineLevel="0" collapsed="false">
      <c r="A61" s="20" t="s">
        <v>298</v>
      </c>
      <c r="B61" s="22" t="n">
        <v>46314</v>
      </c>
      <c r="C61" s="22" t="n">
        <v>46320</v>
      </c>
      <c r="D61" s="20" t="n">
        <f aca="false">NETWORKDAYS(MAX(B61,DATE(2026,10,1)),MIN(C61,DATE(2026,12,31)))</f>
        <v>5</v>
      </c>
      <c r="E61" s="23" t="n">
        <f aca="false">SUMPRODUCT(('Daily Expected'!$A$4:$A$12=$A61)*('Daily Expected'!$C$3:$CP$3&gt;=$B61)*('Daily Expected'!$C$3:$CP$3&lt;=$C61)*'Daily Expected'!$C$4:$CP$12)</f>
        <v>22.5</v>
      </c>
      <c r="F61" s="23" t="n">
        <f aca="false">IF($A61="Unassigned",0,D61*'Assignment Calc'!$B$1)</f>
        <v>45</v>
      </c>
      <c r="G61" s="27" t="n">
        <f aca="false">IF(F61=0,0,E61/F61)</f>
        <v>0.5</v>
      </c>
      <c r="H61" s="20" t="str">
        <f aca="false">IF($A61="Unassigned",IF(E61&gt;0,"Unassigned hours","-"),IF(E61=0,"Unallocated",IF(E61&gt;F61+0.0001,"Over-allocated",IF(ABS(E61-F61)&lt;0.0001,"Optimally allocated","Under-allocated"))))</f>
        <v>Under-allocated</v>
      </c>
      <c r="I61" s="23" t="n">
        <f aca="false">SUMPRODUCT(('Daily Closed-Cancelled'!$A$4:$A$12=$A61)*('Daily Closed-Cancelled'!$C$3:$CP$3&gt;=$B61)*('Daily Closed-Cancelled'!$C$3:$CP$3&lt;=$C61)*'Daily Closed-Cancelled'!$C$4:$CP$12)</f>
        <v>0</v>
      </c>
    </row>
    <row r="62" customFormat="false" ht="15" hidden="false" customHeight="true" outlineLevel="0" collapsed="false">
      <c r="A62" s="20" t="s">
        <v>298</v>
      </c>
      <c r="B62" s="22" t="n">
        <v>46321</v>
      </c>
      <c r="C62" s="22" t="n">
        <v>46327</v>
      </c>
      <c r="D62" s="20" t="n">
        <f aca="false">NETWORKDAYS(MAX(B62,DATE(2026,10,1)),MIN(C62,DATE(2026,12,31)))</f>
        <v>5</v>
      </c>
      <c r="E62" s="23" t="n">
        <f aca="false">SUMPRODUCT(('Daily Expected'!$A$4:$A$12=$A62)*('Daily Expected'!$C$3:$CP$3&gt;=$B62)*('Daily Expected'!$C$3:$CP$3&lt;=$C62)*'Daily Expected'!$C$4:$CP$12)</f>
        <v>0</v>
      </c>
      <c r="F62" s="23" t="n">
        <f aca="false">IF($A62="Unassigned",0,D62*'Assignment Calc'!$B$1)</f>
        <v>45</v>
      </c>
      <c r="G62" s="27" t="n">
        <f aca="false">IF(F62=0,0,E62/F62)</f>
        <v>0</v>
      </c>
      <c r="H62" s="20" t="str">
        <f aca="false">IF($A62="Unassigned",IF(E62&gt;0,"Unassigned hours","-"),IF(E62=0,"Unallocated",IF(E62&gt;F62+0.0001,"Over-allocated",IF(ABS(E62-F62)&lt;0.0001,"Optimally allocated","Under-allocated"))))</f>
        <v>Unallocated</v>
      </c>
      <c r="I62" s="23" t="n">
        <f aca="false">SUMPRODUCT(('Daily Closed-Cancelled'!$A$4:$A$12=$A62)*('Daily Closed-Cancelled'!$C$3:$CP$3&gt;=$B62)*('Daily Closed-Cancelled'!$C$3:$CP$3&lt;=$C62)*'Daily Closed-Cancelled'!$C$4:$CP$12)</f>
        <v>0</v>
      </c>
    </row>
    <row r="63" customFormat="false" ht="15" hidden="false" customHeight="true" outlineLevel="0" collapsed="false">
      <c r="A63" s="20" t="s">
        <v>298</v>
      </c>
      <c r="B63" s="22" t="n">
        <v>46328</v>
      </c>
      <c r="C63" s="22" t="n">
        <v>46334</v>
      </c>
      <c r="D63" s="20" t="n">
        <f aca="false">NETWORKDAYS(MAX(B63,DATE(2026,10,1)),MIN(C63,DATE(2026,12,31)))</f>
        <v>5</v>
      </c>
      <c r="E63" s="23" t="n">
        <f aca="false">SUMPRODUCT(('Daily Expected'!$A$4:$A$12=$A63)*('Daily Expected'!$C$3:$CP$3&gt;=$B63)*('Daily Expected'!$C$3:$CP$3&lt;=$C63)*'Daily Expected'!$C$4:$CP$12)</f>
        <v>45</v>
      </c>
      <c r="F63" s="23" t="n">
        <f aca="false">IF($A63="Unassigned",0,D63*'Assignment Calc'!$B$1)</f>
        <v>45</v>
      </c>
      <c r="G63" s="27" t="n">
        <f aca="false">IF(F63=0,0,E63/F63)</f>
        <v>1</v>
      </c>
      <c r="H63" s="20" t="str">
        <f aca="false">IF($A63="Unassigned",IF(E63&gt;0,"Unassigned hours","-"),IF(E63=0,"Unallocated",IF(E63&gt;F63+0.0001,"Over-allocated",IF(ABS(E63-F63)&lt;0.0001,"Optimally allocated","Under-allocated"))))</f>
        <v>Optimally allocated</v>
      </c>
      <c r="I63" s="23" t="n">
        <f aca="false">SUMPRODUCT(('Daily Closed-Cancelled'!$A$4:$A$12=$A63)*('Daily Closed-Cancelled'!$C$3:$CP$3&gt;=$B63)*('Daily Closed-Cancelled'!$C$3:$CP$3&lt;=$C63)*'Daily Closed-Cancelled'!$C$4:$CP$12)</f>
        <v>0</v>
      </c>
    </row>
    <row r="64" customFormat="false" ht="15" hidden="false" customHeight="true" outlineLevel="0" collapsed="false">
      <c r="A64" s="20" t="s">
        <v>298</v>
      </c>
      <c r="B64" s="22" t="n">
        <v>46335</v>
      </c>
      <c r="C64" s="22" t="n">
        <v>46341</v>
      </c>
      <c r="D64" s="20" t="n">
        <f aca="false">NETWORKDAYS(MAX(B64,DATE(2026,10,1)),MIN(C64,DATE(2026,12,31)))</f>
        <v>5</v>
      </c>
      <c r="E64" s="23" t="n">
        <f aca="false">SUMPRODUCT(('Daily Expected'!$A$4:$A$12=$A64)*('Daily Expected'!$C$3:$CP$3&gt;=$B64)*('Daily Expected'!$C$3:$CP$3&lt;=$C64)*'Daily Expected'!$C$4:$CP$12)</f>
        <v>42.5</v>
      </c>
      <c r="F64" s="23" t="n">
        <f aca="false">IF($A64="Unassigned",0,D64*'Assignment Calc'!$B$1)</f>
        <v>45</v>
      </c>
      <c r="G64" s="27" t="n">
        <f aca="false">IF(F64=0,0,E64/F64)</f>
        <v>0.944444444444444</v>
      </c>
      <c r="H64" s="20" t="str">
        <f aca="false">IF($A64="Unassigned",IF(E64&gt;0,"Unassigned hours","-"),IF(E64=0,"Unallocated",IF(E64&gt;F64+0.0001,"Over-allocated",IF(ABS(E64-F64)&lt;0.0001,"Optimally allocated","Under-allocated"))))</f>
        <v>Under-allocated</v>
      </c>
      <c r="I64" s="23" t="n">
        <f aca="false">SUMPRODUCT(('Daily Closed-Cancelled'!$A$4:$A$12=$A64)*('Daily Closed-Cancelled'!$C$3:$CP$3&gt;=$B64)*('Daily Closed-Cancelled'!$C$3:$CP$3&lt;=$C64)*'Daily Closed-Cancelled'!$C$4:$CP$12)</f>
        <v>0</v>
      </c>
    </row>
    <row r="65" customFormat="false" ht="15" hidden="false" customHeight="true" outlineLevel="0" collapsed="false">
      <c r="A65" s="20" t="s">
        <v>298</v>
      </c>
      <c r="B65" s="22" t="n">
        <v>46342</v>
      </c>
      <c r="C65" s="22" t="n">
        <v>46348</v>
      </c>
      <c r="D65" s="20" t="n">
        <f aca="false">NETWORKDAYS(MAX(B65,DATE(2026,10,1)),MIN(C65,DATE(2026,12,31)))</f>
        <v>5</v>
      </c>
      <c r="E65" s="23" t="n">
        <f aca="false">SUMPRODUCT(('Daily Expected'!$A$4:$A$12=$A65)*('Daily Expected'!$C$3:$CP$3&gt;=$B65)*('Daily Expected'!$C$3:$CP$3&lt;=$C65)*'Daily Expected'!$C$4:$CP$12)</f>
        <v>0</v>
      </c>
      <c r="F65" s="23" t="n">
        <f aca="false">IF($A65="Unassigned",0,D65*'Assignment Calc'!$B$1)</f>
        <v>45</v>
      </c>
      <c r="G65" s="27" t="n">
        <f aca="false">IF(F65=0,0,E65/F65)</f>
        <v>0</v>
      </c>
      <c r="H65" s="20" t="str">
        <f aca="false">IF($A65="Unassigned",IF(E65&gt;0,"Unassigned hours","-"),IF(E65=0,"Unallocated",IF(E65&gt;F65+0.0001,"Over-allocated",IF(ABS(E65-F65)&lt;0.0001,"Optimally allocated","Under-allocated"))))</f>
        <v>Unallocated</v>
      </c>
      <c r="I65" s="23" t="n">
        <f aca="false">SUMPRODUCT(('Daily Closed-Cancelled'!$A$4:$A$12=$A65)*('Daily Closed-Cancelled'!$C$3:$CP$3&gt;=$B65)*('Daily Closed-Cancelled'!$C$3:$CP$3&lt;=$C65)*'Daily Closed-Cancelled'!$C$4:$CP$12)</f>
        <v>0</v>
      </c>
    </row>
    <row r="66" customFormat="false" ht="15" hidden="false" customHeight="true" outlineLevel="0" collapsed="false">
      <c r="A66" s="20" t="s">
        <v>298</v>
      </c>
      <c r="B66" s="22" t="n">
        <v>46349</v>
      </c>
      <c r="C66" s="22" t="n">
        <v>46355</v>
      </c>
      <c r="D66" s="20" t="n">
        <f aca="false">NETWORKDAYS(MAX(B66,DATE(2026,10,1)),MIN(C66,DATE(2026,12,31)))</f>
        <v>5</v>
      </c>
      <c r="E66" s="23" t="n">
        <f aca="false">SUMPRODUCT(('Daily Expected'!$A$4:$A$12=$A66)*('Daily Expected'!$C$3:$CP$3&gt;=$B66)*('Daily Expected'!$C$3:$CP$3&lt;=$C66)*'Daily Expected'!$C$4:$CP$12)</f>
        <v>47.5</v>
      </c>
      <c r="F66" s="23" t="n">
        <f aca="false">IF($A66="Unassigned",0,D66*'Assignment Calc'!$B$1)</f>
        <v>45</v>
      </c>
      <c r="G66" s="27" t="n">
        <f aca="false">IF(F66=0,0,E66/F66)</f>
        <v>1.05555555555556</v>
      </c>
      <c r="H66" s="20" t="str">
        <f aca="false">IF($A66="Unassigned",IF(E66&gt;0,"Unassigned hours","-"),IF(E66=0,"Unallocated",IF(E66&gt;F66+0.0001,"Over-allocated",IF(ABS(E66-F66)&lt;0.0001,"Optimally allocated","Under-allocated"))))</f>
        <v>Over-allocated</v>
      </c>
      <c r="I66" s="23" t="n">
        <f aca="false">SUMPRODUCT(('Daily Closed-Cancelled'!$A$4:$A$12=$A66)*('Daily Closed-Cancelled'!$C$3:$CP$3&gt;=$B66)*('Daily Closed-Cancelled'!$C$3:$CP$3&lt;=$C66)*'Daily Closed-Cancelled'!$C$4:$CP$12)</f>
        <v>25</v>
      </c>
    </row>
    <row r="67" customFormat="false" ht="15" hidden="false" customHeight="true" outlineLevel="0" collapsed="false">
      <c r="A67" s="20" t="s">
        <v>298</v>
      </c>
      <c r="B67" s="22" t="n">
        <v>46356</v>
      </c>
      <c r="C67" s="22" t="n">
        <v>46362</v>
      </c>
      <c r="D67" s="20" t="n">
        <f aca="false">NETWORKDAYS(MAX(B67,DATE(2026,10,1)),MIN(C67,DATE(2026,12,31)))</f>
        <v>5</v>
      </c>
      <c r="E67" s="23" t="n">
        <f aca="false">SUMPRODUCT(('Daily Expected'!$A$4:$A$12=$A67)*('Daily Expected'!$C$3:$CP$3&gt;=$B67)*('Daily Expected'!$C$3:$CP$3&lt;=$C67)*'Daily Expected'!$C$4:$CP$12)</f>
        <v>45</v>
      </c>
      <c r="F67" s="23" t="n">
        <f aca="false">IF($A67="Unassigned",0,D67*'Assignment Calc'!$B$1)</f>
        <v>45</v>
      </c>
      <c r="G67" s="27" t="n">
        <f aca="false">IF(F67=0,0,E67/F67)</f>
        <v>1</v>
      </c>
      <c r="H67" s="20" t="str">
        <f aca="false">IF($A67="Unassigned",IF(E67&gt;0,"Unassigned hours","-"),IF(E67=0,"Unallocated",IF(E67&gt;F67+0.0001,"Over-allocated",IF(ABS(E67-F67)&lt;0.0001,"Optimally allocated","Under-allocated"))))</f>
        <v>Optimally allocated</v>
      </c>
      <c r="I67" s="23" t="n">
        <f aca="false">SUMPRODUCT(('Daily Closed-Cancelled'!$A$4:$A$12=$A67)*('Daily Closed-Cancelled'!$C$3:$CP$3&gt;=$B67)*('Daily Closed-Cancelled'!$C$3:$CP$3&lt;=$C67)*'Daily Closed-Cancelled'!$C$4:$CP$12)</f>
        <v>0</v>
      </c>
    </row>
    <row r="68" customFormat="false" ht="15" hidden="false" customHeight="true" outlineLevel="0" collapsed="false">
      <c r="A68" s="20" t="s">
        <v>298</v>
      </c>
      <c r="B68" s="22" t="n">
        <v>46363</v>
      </c>
      <c r="C68" s="22" t="n">
        <v>46369</v>
      </c>
      <c r="D68" s="20" t="n">
        <f aca="false">NETWORKDAYS(MAX(B68,DATE(2026,10,1)),MIN(C68,DATE(2026,12,31)))</f>
        <v>5</v>
      </c>
      <c r="E68" s="23" t="n">
        <f aca="false">SUMPRODUCT(('Daily Expected'!$A$4:$A$12=$A68)*('Daily Expected'!$C$3:$CP$3&gt;=$B68)*('Daily Expected'!$C$3:$CP$3&lt;=$C68)*'Daily Expected'!$C$4:$CP$12)</f>
        <v>15</v>
      </c>
      <c r="F68" s="23" t="n">
        <f aca="false">IF($A68="Unassigned",0,D68*'Assignment Calc'!$B$1)</f>
        <v>45</v>
      </c>
      <c r="G68" s="27" t="n">
        <f aca="false">IF(F68=0,0,E68/F68)</f>
        <v>0.333333333333333</v>
      </c>
      <c r="H68" s="20" t="str">
        <f aca="false">IF($A68="Unassigned",IF(E68&gt;0,"Unassigned hours","-"),IF(E68=0,"Unallocated",IF(E68&gt;F68+0.0001,"Over-allocated",IF(ABS(E68-F68)&lt;0.0001,"Optimally allocated","Under-allocated"))))</f>
        <v>Under-allocated</v>
      </c>
      <c r="I68" s="23" t="n">
        <f aca="false">SUMPRODUCT(('Daily Closed-Cancelled'!$A$4:$A$12=$A68)*('Daily Closed-Cancelled'!$C$3:$CP$3&gt;=$B68)*('Daily Closed-Cancelled'!$C$3:$CP$3&lt;=$C68)*'Daily Closed-Cancelled'!$C$4:$CP$12)</f>
        <v>0</v>
      </c>
    </row>
    <row r="69" customFormat="false" ht="15" hidden="false" customHeight="true" outlineLevel="0" collapsed="false">
      <c r="A69" s="20" t="s">
        <v>298</v>
      </c>
      <c r="B69" s="22" t="n">
        <v>46370</v>
      </c>
      <c r="C69" s="22" t="n">
        <v>46376</v>
      </c>
      <c r="D69" s="20" t="n">
        <f aca="false">NETWORKDAYS(MAX(B69,DATE(2026,10,1)),MIN(C69,DATE(2026,12,31)))</f>
        <v>5</v>
      </c>
      <c r="E69" s="23" t="n">
        <f aca="false">SUMPRODUCT(('Daily Expected'!$A$4:$A$12=$A69)*('Daily Expected'!$C$3:$CP$3&gt;=$B69)*('Daily Expected'!$C$3:$CP$3&lt;=$C69)*'Daily Expected'!$C$4:$CP$12)</f>
        <v>0</v>
      </c>
      <c r="F69" s="23" t="n">
        <f aca="false">IF($A69="Unassigned",0,D69*'Assignment Calc'!$B$1)</f>
        <v>45</v>
      </c>
      <c r="G69" s="27" t="n">
        <f aca="false">IF(F69=0,0,E69/F69)</f>
        <v>0</v>
      </c>
      <c r="H69" s="20" t="str">
        <f aca="false">IF($A69="Unassigned",IF(E69&gt;0,"Unassigned hours","-"),IF(E69=0,"Unallocated",IF(E69&gt;F69+0.0001,"Over-allocated",IF(ABS(E69-F69)&lt;0.0001,"Optimally allocated","Under-allocated"))))</f>
        <v>Unallocated</v>
      </c>
      <c r="I69" s="23" t="n">
        <f aca="false">SUMPRODUCT(('Daily Closed-Cancelled'!$A$4:$A$12=$A69)*('Daily Closed-Cancelled'!$C$3:$CP$3&gt;=$B69)*('Daily Closed-Cancelled'!$C$3:$CP$3&lt;=$C69)*'Daily Closed-Cancelled'!$C$4:$CP$12)</f>
        <v>0</v>
      </c>
    </row>
    <row r="70" customFormat="false" ht="15" hidden="false" customHeight="true" outlineLevel="0" collapsed="false">
      <c r="A70" s="20" t="s">
        <v>298</v>
      </c>
      <c r="B70" s="22" t="n">
        <v>46377</v>
      </c>
      <c r="C70" s="22" t="n">
        <v>46383</v>
      </c>
      <c r="D70" s="20" t="n">
        <f aca="false">NETWORKDAYS(MAX(B70,DATE(2026,10,1)),MIN(C70,DATE(2026,12,31)))</f>
        <v>5</v>
      </c>
      <c r="E70" s="23" t="n">
        <f aca="false">SUMPRODUCT(('Daily Expected'!$A$4:$A$12=$A70)*('Daily Expected'!$C$3:$CP$3&gt;=$B70)*('Daily Expected'!$C$3:$CP$3&lt;=$C70)*'Daily Expected'!$C$4:$CP$12)</f>
        <v>60</v>
      </c>
      <c r="F70" s="23" t="n">
        <f aca="false">IF($A70="Unassigned",0,D70*'Assignment Calc'!$B$1)</f>
        <v>45</v>
      </c>
      <c r="G70" s="27" t="n">
        <f aca="false">IF(F70=0,0,E70/F70)</f>
        <v>1.33333333333333</v>
      </c>
      <c r="H70" s="20" t="str">
        <f aca="false">IF($A70="Unassigned",IF(E70&gt;0,"Unassigned hours","-"),IF(E70=0,"Unallocated",IF(E70&gt;F70+0.0001,"Over-allocated",IF(ABS(E70-F70)&lt;0.0001,"Optimally allocated","Under-allocated"))))</f>
        <v>Over-allocated</v>
      </c>
      <c r="I70" s="23" t="n">
        <f aca="false">SUMPRODUCT(('Daily Closed-Cancelled'!$A$4:$A$12=$A70)*('Daily Closed-Cancelled'!$C$3:$CP$3&gt;=$B70)*('Daily Closed-Cancelled'!$C$3:$CP$3&lt;=$C70)*'Daily Closed-Cancelled'!$C$4:$CP$12)</f>
        <v>0</v>
      </c>
    </row>
    <row r="71" customFormat="false" ht="15" hidden="false" customHeight="true" outlineLevel="0" collapsed="false">
      <c r="A71" s="20" t="s">
        <v>298</v>
      </c>
      <c r="B71" s="22" t="n">
        <v>46384</v>
      </c>
      <c r="C71" s="22" t="n">
        <v>46390</v>
      </c>
      <c r="D71" s="20" t="n">
        <f aca="false">NETWORKDAYS(MAX(B71,DATE(2026,10,1)),MIN(C71,DATE(2026,12,31)))</f>
        <v>4</v>
      </c>
      <c r="E71" s="23" t="n">
        <f aca="false">SUMPRODUCT(('Daily Expected'!$A$4:$A$12=$A71)*('Daily Expected'!$C$3:$CP$3&gt;=$B71)*('Daily Expected'!$C$3:$CP$3&lt;=$C71)*'Daily Expected'!$C$4:$CP$12)</f>
        <v>36</v>
      </c>
      <c r="F71" s="23" t="n">
        <f aca="false">IF($A71="Unassigned",0,D71*'Assignment Calc'!$B$1)</f>
        <v>36</v>
      </c>
      <c r="G71" s="27" t="n">
        <f aca="false">IF(F71=0,0,E71/F71)</f>
        <v>1</v>
      </c>
      <c r="H71" s="20" t="str">
        <f aca="false">IF($A71="Unassigned",IF(E71&gt;0,"Unassigned hours","-"),IF(E71=0,"Unallocated",IF(E71&gt;F71+0.0001,"Over-allocated",IF(ABS(E71-F71)&lt;0.0001,"Optimally allocated","Under-allocated"))))</f>
        <v>Optimally allocated</v>
      </c>
      <c r="I71" s="23" t="n">
        <f aca="false">SUMPRODUCT(('Daily Closed-Cancelled'!$A$4:$A$12=$A71)*('Daily Closed-Cancelled'!$C$3:$CP$3&gt;=$B71)*('Daily Closed-Cancelled'!$C$3:$CP$3&lt;=$C71)*'Daily Closed-Cancelled'!$C$4:$CP$12)</f>
        <v>0</v>
      </c>
    </row>
    <row r="72" customFormat="false" ht="15" hidden="false" customHeight="true" outlineLevel="0" collapsed="false">
      <c r="A72" s="20" t="s">
        <v>333</v>
      </c>
      <c r="B72" s="22" t="n">
        <v>46293</v>
      </c>
      <c r="C72" s="22" t="n">
        <v>46299</v>
      </c>
      <c r="D72" s="20" t="n">
        <f aca="false">NETWORKDAYS(MAX(B72,DATE(2026,10,1)),MIN(C72,DATE(2026,12,31)))</f>
        <v>2</v>
      </c>
      <c r="E72" s="23" t="n">
        <f aca="false">SUMPRODUCT(('Daily Expected'!$A$4:$A$12=$A72)*('Daily Expected'!$C$3:$CP$3&gt;=$B72)*('Daily Expected'!$C$3:$CP$3&lt;=$C72)*'Daily Expected'!$C$4:$CP$12)</f>
        <v>9</v>
      </c>
      <c r="F72" s="23" t="n">
        <f aca="false">IF($A72="Unassigned",0,D72*'Assignment Calc'!$B$1)</f>
        <v>18</v>
      </c>
      <c r="G72" s="27" t="n">
        <f aca="false">IF(F72=0,0,E72/F72)</f>
        <v>0.5</v>
      </c>
      <c r="H72" s="20" t="str">
        <f aca="false">IF($A72="Unassigned",IF(E72&gt;0,"Unassigned hours","-"),IF(E72=0,"Unallocated",IF(E72&gt;F72+0.0001,"Over-allocated",IF(ABS(E72-F72)&lt;0.0001,"Optimally allocated","Under-allocated"))))</f>
        <v>Under-allocated</v>
      </c>
      <c r="I72" s="23" t="n">
        <f aca="false">SUMPRODUCT(('Daily Closed-Cancelled'!$A$4:$A$12=$A72)*('Daily Closed-Cancelled'!$C$3:$CP$3&gt;=$B72)*('Daily Closed-Cancelled'!$C$3:$CP$3&lt;=$C72)*'Daily Closed-Cancelled'!$C$4:$CP$12)</f>
        <v>0</v>
      </c>
    </row>
    <row r="73" customFormat="false" ht="15" hidden="false" customHeight="true" outlineLevel="0" collapsed="false">
      <c r="A73" s="20" t="s">
        <v>333</v>
      </c>
      <c r="B73" s="22" t="n">
        <v>46300</v>
      </c>
      <c r="C73" s="22" t="n">
        <v>46306</v>
      </c>
      <c r="D73" s="20" t="n">
        <f aca="false">NETWORKDAYS(MAX(B73,DATE(2026,10,1)),MIN(C73,DATE(2026,12,31)))</f>
        <v>5</v>
      </c>
      <c r="E73" s="23" t="n">
        <f aca="false">SUMPRODUCT(('Daily Expected'!$A$4:$A$12=$A73)*('Daily Expected'!$C$3:$CP$3&gt;=$B73)*('Daily Expected'!$C$3:$CP$3&lt;=$C73)*'Daily Expected'!$C$4:$CP$12)</f>
        <v>45</v>
      </c>
      <c r="F73" s="23" t="n">
        <f aca="false">IF($A73="Unassigned",0,D73*'Assignment Calc'!$B$1)</f>
        <v>45</v>
      </c>
      <c r="G73" s="27" t="n">
        <f aca="false">IF(F73=0,0,E73/F73)</f>
        <v>1</v>
      </c>
      <c r="H73" s="20" t="str">
        <f aca="false">IF($A73="Unassigned",IF(E73&gt;0,"Unassigned hours","-"),IF(E73=0,"Unallocated",IF(E73&gt;F73+0.0001,"Over-allocated",IF(ABS(E73-F73)&lt;0.0001,"Optimally allocated","Under-allocated"))))</f>
        <v>Optimally allocated</v>
      </c>
      <c r="I73" s="23" t="n">
        <f aca="false">SUMPRODUCT(('Daily Closed-Cancelled'!$A$4:$A$12=$A73)*('Daily Closed-Cancelled'!$C$3:$CP$3&gt;=$B73)*('Daily Closed-Cancelled'!$C$3:$CP$3&lt;=$C73)*'Daily Closed-Cancelled'!$C$4:$CP$12)</f>
        <v>0</v>
      </c>
    </row>
    <row r="74" customFormat="false" ht="15" hidden="false" customHeight="true" outlineLevel="0" collapsed="false">
      <c r="A74" s="20" t="s">
        <v>333</v>
      </c>
      <c r="B74" s="22" t="n">
        <v>46307</v>
      </c>
      <c r="C74" s="22" t="n">
        <v>46313</v>
      </c>
      <c r="D74" s="20" t="n">
        <f aca="false">NETWORKDAYS(MAX(B74,DATE(2026,10,1)),MIN(C74,DATE(2026,12,31)))</f>
        <v>5</v>
      </c>
      <c r="E74" s="23" t="n">
        <f aca="false">SUMPRODUCT(('Daily Expected'!$A$4:$A$12=$A74)*('Daily Expected'!$C$3:$CP$3&gt;=$B74)*('Daily Expected'!$C$3:$CP$3&lt;=$C74)*'Daily Expected'!$C$4:$CP$12)</f>
        <v>11.25</v>
      </c>
      <c r="F74" s="23" t="n">
        <f aca="false">IF($A74="Unassigned",0,D74*'Assignment Calc'!$B$1)</f>
        <v>45</v>
      </c>
      <c r="G74" s="27" t="n">
        <f aca="false">IF(F74=0,0,E74/F74)</f>
        <v>0.25</v>
      </c>
      <c r="H74" s="20" t="str">
        <f aca="false">IF($A74="Unassigned",IF(E74&gt;0,"Unassigned hours","-"),IF(E74=0,"Unallocated",IF(E74&gt;F74+0.0001,"Over-allocated",IF(ABS(E74-F74)&lt;0.0001,"Optimally allocated","Under-allocated"))))</f>
        <v>Under-allocated</v>
      </c>
      <c r="I74" s="23" t="n">
        <f aca="false">SUMPRODUCT(('Daily Closed-Cancelled'!$A$4:$A$12=$A74)*('Daily Closed-Cancelled'!$C$3:$CP$3&gt;=$B74)*('Daily Closed-Cancelled'!$C$3:$CP$3&lt;=$C74)*'Daily Closed-Cancelled'!$C$4:$CP$12)</f>
        <v>11.25</v>
      </c>
    </row>
    <row r="75" customFormat="false" ht="15" hidden="false" customHeight="true" outlineLevel="0" collapsed="false">
      <c r="A75" s="20" t="s">
        <v>333</v>
      </c>
      <c r="B75" s="22" t="n">
        <v>46314</v>
      </c>
      <c r="C75" s="22" t="n">
        <v>46320</v>
      </c>
      <c r="D75" s="20" t="n">
        <f aca="false">NETWORKDAYS(MAX(B75,DATE(2026,10,1)),MIN(C75,DATE(2026,12,31)))</f>
        <v>5</v>
      </c>
      <c r="E75" s="23" t="n">
        <f aca="false">SUMPRODUCT(('Daily Expected'!$A$4:$A$12=$A75)*('Daily Expected'!$C$3:$CP$3&gt;=$B75)*('Daily Expected'!$C$3:$CP$3&lt;=$C75)*'Daily Expected'!$C$4:$CP$12)</f>
        <v>0</v>
      </c>
      <c r="F75" s="23" t="n">
        <f aca="false">IF($A75="Unassigned",0,D75*'Assignment Calc'!$B$1)</f>
        <v>45</v>
      </c>
      <c r="G75" s="27" t="n">
        <f aca="false">IF(F75=0,0,E75/F75)</f>
        <v>0</v>
      </c>
      <c r="H75" s="20" t="str">
        <f aca="false">IF($A75="Unassigned",IF(E75&gt;0,"Unassigned hours","-"),IF(E75=0,"Unallocated",IF(E75&gt;F75+0.0001,"Over-allocated",IF(ABS(E75-F75)&lt;0.0001,"Optimally allocated","Under-allocated"))))</f>
        <v>Unallocated</v>
      </c>
      <c r="I75" s="23" t="n">
        <f aca="false">SUMPRODUCT(('Daily Closed-Cancelled'!$A$4:$A$12=$A75)*('Daily Closed-Cancelled'!$C$3:$CP$3&gt;=$B75)*('Daily Closed-Cancelled'!$C$3:$CP$3&lt;=$C75)*'Daily Closed-Cancelled'!$C$4:$CP$12)</f>
        <v>0</v>
      </c>
    </row>
    <row r="76" customFormat="false" ht="15" hidden="false" customHeight="true" outlineLevel="0" collapsed="false">
      <c r="A76" s="20" t="s">
        <v>333</v>
      </c>
      <c r="B76" s="22" t="n">
        <v>46321</v>
      </c>
      <c r="C76" s="22" t="n">
        <v>46327</v>
      </c>
      <c r="D76" s="20" t="n">
        <f aca="false">NETWORKDAYS(MAX(B76,DATE(2026,10,1)),MIN(C76,DATE(2026,12,31)))</f>
        <v>5</v>
      </c>
      <c r="E76" s="23" t="n">
        <f aca="false">SUMPRODUCT(('Daily Expected'!$A$4:$A$12=$A76)*('Daily Expected'!$C$3:$CP$3&gt;=$B76)*('Daily Expected'!$C$3:$CP$3&lt;=$C76)*'Daily Expected'!$C$4:$CP$12)</f>
        <v>67.5</v>
      </c>
      <c r="F76" s="23" t="n">
        <f aca="false">IF($A76="Unassigned",0,D76*'Assignment Calc'!$B$1)</f>
        <v>45</v>
      </c>
      <c r="G76" s="27" t="n">
        <f aca="false">IF(F76=0,0,E76/F76)</f>
        <v>1.5</v>
      </c>
      <c r="H76" s="20" t="str">
        <f aca="false">IF($A76="Unassigned",IF(E76&gt;0,"Unassigned hours","-"),IF(E76=0,"Unallocated",IF(E76&gt;F76+0.0001,"Over-allocated",IF(ABS(E76-F76)&lt;0.0001,"Optimally allocated","Under-allocated"))))</f>
        <v>Over-allocated</v>
      </c>
      <c r="I76" s="23" t="n">
        <f aca="false">SUMPRODUCT(('Daily Closed-Cancelled'!$A$4:$A$12=$A76)*('Daily Closed-Cancelled'!$C$3:$CP$3&gt;=$B76)*('Daily Closed-Cancelled'!$C$3:$CP$3&lt;=$C76)*'Daily Closed-Cancelled'!$C$4:$CP$12)</f>
        <v>67.5</v>
      </c>
    </row>
    <row r="77" customFormat="false" ht="15" hidden="false" customHeight="true" outlineLevel="0" collapsed="false">
      <c r="A77" s="20" t="s">
        <v>333</v>
      </c>
      <c r="B77" s="22" t="n">
        <v>46328</v>
      </c>
      <c r="C77" s="22" t="n">
        <v>46334</v>
      </c>
      <c r="D77" s="20" t="n">
        <f aca="false">NETWORKDAYS(MAX(B77,DATE(2026,10,1)),MIN(C77,DATE(2026,12,31)))</f>
        <v>5</v>
      </c>
      <c r="E77" s="23" t="n">
        <f aca="false">SUMPRODUCT(('Daily Expected'!$A$4:$A$12=$A77)*('Daily Expected'!$C$3:$CP$3&gt;=$B77)*('Daily Expected'!$C$3:$CP$3&lt;=$C77)*'Daily Expected'!$C$4:$CP$12)</f>
        <v>22.5</v>
      </c>
      <c r="F77" s="23" t="n">
        <f aca="false">IF($A77="Unassigned",0,D77*'Assignment Calc'!$B$1)</f>
        <v>45</v>
      </c>
      <c r="G77" s="27" t="n">
        <f aca="false">IF(F77=0,0,E77/F77)</f>
        <v>0.5</v>
      </c>
      <c r="H77" s="20" t="str">
        <f aca="false">IF($A77="Unassigned",IF(E77&gt;0,"Unassigned hours","-"),IF(E77=0,"Unallocated",IF(E77&gt;F77+0.0001,"Over-allocated",IF(ABS(E77-F77)&lt;0.0001,"Optimally allocated","Under-allocated"))))</f>
        <v>Under-allocated</v>
      </c>
      <c r="I77" s="23" t="n">
        <f aca="false">SUMPRODUCT(('Daily Closed-Cancelled'!$A$4:$A$12=$A77)*('Daily Closed-Cancelled'!$C$3:$CP$3&gt;=$B77)*('Daily Closed-Cancelled'!$C$3:$CP$3&lt;=$C77)*'Daily Closed-Cancelled'!$C$4:$CP$12)</f>
        <v>0</v>
      </c>
    </row>
    <row r="78" customFormat="false" ht="15" hidden="false" customHeight="true" outlineLevel="0" collapsed="false">
      <c r="A78" s="20" t="s">
        <v>333</v>
      </c>
      <c r="B78" s="22" t="n">
        <v>46335</v>
      </c>
      <c r="C78" s="22" t="n">
        <v>46341</v>
      </c>
      <c r="D78" s="20" t="n">
        <f aca="false">NETWORKDAYS(MAX(B78,DATE(2026,10,1)),MIN(C78,DATE(2026,12,31)))</f>
        <v>5</v>
      </c>
      <c r="E78" s="23" t="n">
        <f aca="false">SUMPRODUCT(('Daily Expected'!$A$4:$A$12=$A78)*('Daily Expected'!$C$3:$CP$3&gt;=$B78)*('Daily Expected'!$C$3:$CP$3&lt;=$C78)*'Daily Expected'!$C$4:$CP$12)</f>
        <v>0</v>
      </c>
      <c r="F78" s="23" t="n">
        <f aca="false">IF($A78="Unassigned",0,D78*'Assignment Calc'!$B$1)</f>
        <v>45</v>
      </c>
      <c r="G78" s="27" t="n">
        <f aca="false">IF(F78=0,0,E78/F78)</f>
        <v>0</v>
      </c>
      <c r="H78" s="20" t="str">
        <f aca="false">IF($A78="Unassigned",IF(E78&gt;0,"Unassigned hours","-"),IF(E78=0,"Unallocated",IF(E78&gt;F78+0.0001,"Over-allocated",IF(ABS(E78-F78)&lt;0.0001,"Optimally allocated","Under-allocated"))))</f>
        <v>Unallocated</v>
      </c>
      <c r="I78" s="23" t="n">
        <f aca="false">SUMPRODUCT(('Daily Closed-Cancelled'!$A$4:$A$12=$A78)*('Daily Closed-Cancelled'!$C$3:$CP$3&gt;=$B78)*('Daily Closed-Cancelled'!$C$3:$CP$3&lt;=$C78)*'Daily Closed-Cancelled'!$C$4:$CP$12)</f>
        <v>0</v>
      </c>
    </row>
    <row r="79" customFormat="false" ht="15" hidden="false" customHeight="true" outlineLevel="0" collapsed="false">
      <c r="A79" s="20" t="s">
        <v>333</v>
      </c>
      <c r="B79" s="22" t="n">
        <v>46342</v>
      </c>
      <c r="C79" s="22" t="n">
        <v>46348</v>
      </c>
      <c r="D79" s="20" t="n">
        <f aca="false">NETWORKDAYS(MAX(B79,DATE(2026,10,1)),MIN(C79,DATE(2026,12,31)))</f>
        <v>5</v>
      </c>
      <c r="E79" s="23" t="n">
        <f aca="false">SUMPRODUCT(('Daily Expected'!$A$4:$A$12=$A79)*('Daily Expected'!$C$3:$CP$3&gt;=$B79)*('Daily Expected'!$C$3:$CP$3&lt;=$C79)*'Daily Expected'!$C$4:$CP$12)</f>
        <v>52.5</v>
      </c>
      <c r="F79" s="23" t="n">
        <f aca="false">IF($A79="Unassigned",0,D79*'Assignment Calc'!$B$1)</f>
        <v>45</v>
      </c>
      <c r="G79" s="27" t="n">
        <f aca="false">IF(F79=0,0,E79/F79)</f>
        <v>1.16666666666667</v>
      </c>
      <c r="H79" s="20" t="str">
        <f aca="false">IF($A79="Unassigned",IF(E79&gt;0,"Unassigned hours","-"),IF(E79=0,"Unallocated",IF(E79&gt;F79+0.0001,"Over-allocated",IF(ABS(E79-F79)&lt;0.0001,"Optimally allocated","Under-allocated"))))</f>
        <v>Over-allocated</v>
      </c>
      <c r="I79" s="23" t="n">
        <f aca="false">SUMPRODUCT(('Daily Closed-Cancelled'!$A$4:$A$12=$A79)*('Daily Closed-Cancelled'!$C$3:$CP$3&gt;=$B79)*('Daily Closed-Cancelled'!$C$3:$CP$3&lt;=$C79)*'Daily Closed-Cancelled'!$C$4:$CP$12)</f>
        <v>0</v>
      </c>
    </row>
    <row r="80" customFormat="false" ht="15" hidden="false" customHeight="true" outlineLevel="0" collapsed="false">
      <c r="A80" s="20" t="s">
        <v>333</v>
      </c>
      <c r="B80" s="22" t="n">
        <v>46349</v>
      </c>
      <c r="C80" s="22" t="n">
        <v>46355</v>
      </c>
      <c r="D80" s="20" t="n">
        <f aca="false">NETWORKDAYS(MAX(B80,DATE(2026,10,1)),MIN(C80,DATE(2026,12,31)))</f>
        <v>5</v>
      </c>
      <c r="E80" s="23" t="n">
        <f aca="false">SUMPRODUCT(('Daily Expected'!$A$4:$A$12=$A80)*('Daily Expected'!$C$3:$CP$3&gt;=$B80)*('Daily Expected'!$C$3:$CP$3&lt;=$C80)*'Daily Expected'!$C$4:$CP$12)</f>
        <v>45</v>
      </c>
      <c r="F80" s="23" t="n">
        <f aca="false">IF($A80="Unassigned",0,D80*'Assignment Calc'!$B$1)</f>
        <v>45</v>
      </c>
      <c r="G80" s="27" t="n">
        <f aca="false">IF(F80=0,0,E80/F80)</f>
        <v>1</v>
      </c>
      <c r="H80" s="20" t="str">
        <f aca="false">IF($A80="Unassigned",IF(E80&gt;0,"Unassigned hours","-"),IF(E80=0,"Unallocated",IF(E80&gt;F80+0.0001,"Over-allocated",IF(ABS(E80-F80)&lt;0.0001,"Optimally allocated","Under-allocated"))))</f>
        <v>Optimally allocated</v>
      </c>
      <c r="I80" s="23" t="n">
        <f aca="false">SUMPRODUCT(('Daily Closed-Cancelled'!$A$4:$A$12=$A80)*('Daily Closed-Cancelled'!$C$3:$CP$3&gt;=$B80)*('Daily Closed-Cancelled'!$C$3:$CP$3&lt;=$C80)*'Daily Closed-Cancelled'!$C$4:$CP$12)</f>
        <v>0</v>
      </c>
    </row>
    <row r="81" customFormat="false" ht="15" hidden="false" customHeight="true" outlineLevel="0" collapsed="false">
      <c r="A81" s="20" t="s">
        <v>333</v>
      </c>
      <c r="B81" s="22" t="n">
        <v>46356</v>
      </c>
      <c r="C81" s="22" t="n">
        <v>46362</v>
      </c>
      <c r="D81" s="20" t="n">
        <f aca="false">NETWORKDAYS(MAX(B81,DATE(2026,10,1)),MIN(C81,DATE(2026,12,31)))</f>
        <v>5</v>
      </c>
      <c r="E81" s="23" t="n">
        <f aca="false">SUMPRODUCT(('Daily Expected'!$A$4:$A$12=$A81)*('Daily Expected'!$C$3:$CP$3&gt;=$B81)*('Daily Expected'!$C$3:$CP$3&lt;=$C81)*'Daily Expected'!$C$4:$CP$12)</f>
        <v>24</v>
      </c>
      <c r="F81" s="23" t="n">
        <f aca="false">IF($A81="Unassigned",0,D81*'Assignment Calc'!$B$1)</f>
        <v>45</v>
      </c>
      <c r="G81" s="27" t="n">
        <f aca="false">IF(F81=0,0,E81/F81)</f>
        <v>0.533333333333333</v>
      </c>
      <c r="H81" s="20" t="str">
        <f aca="false">IF($A81="Unassigned",IF(E81&gt;0,"Unassigned hours","-"),IF(E81=0,"Unallocated",IF(E81&gt;F81+0.0001,"Over-allocated",IF(ABS(E81-F81)&lt;0.0001,"Optimally allocated","Under-allocated"))))</f>
        <v>Under-allocated</v>
      </c>
      <c r="I81" s="23" t="n">
        <f aca="false">SUMPRODUCT(('Daily Closed-Cancelled'!$A$4:$A$12=$A81)*('Daily Closed-Cancelled'!$C$3:$CP$3&gt;=$B81)*('Daily Closed-Cancelled'!$C$3:$CP$3&lt;=$C81)*'Daily Closed-Cancelled'!$C$4:$CP$12)</f>
        <v>24</v>
      </c>
    </row>
    <row r="82" customFormat="false" ht="15" hidden="false" customHeight="true" outlineLevel="0" collapsed="false">
      <c r="A82" s="20" t="s">
        <v>333</v>
      </c>
      <c r="B82" s="22" t="n">
        <v>46363</v>
      </c>
      <c r="C82" s="22" t="n">
        <v>46369</v>
      </c>
      <c r="D82" s="20" t="n">
        <f aca="false">NETWORKDAYS(MAX(B82,DATE(2026,10,1)),MIN(C82,DATE(2026,12,31)))</f>
        <v>5</v>
      </c>
      <c r="E82" s="23" t="n">
        <f aca="false">SUMPRODUCT(('Daily Expected'!$A$4:$A$12=$A82)*('Daily Expected'!$C$3:$CP$3&gt;=$B82)*('Daily Expected'!$C$3:$CP$3&lt;=$C82)*'Daily Expected'!$C$4:$CP$12)</f>
        <v>0</v>
      </c>
      <c r="F82" s="23" t="n">
        <f aca="false">IF($A82="Unassigned",0,D82*'Assignment Calc'!$B$1)</f>
        <v>45</v>
      </c>
      <c r="G82" s="27" t="n">
        <f aca="false">IF(F82=0,0,E82/F82)</f>
        <v>0</v>
      </c>
      <c r="H82" s="20" t="str">
        <f aca="false">IF($A82="Unassigned",IF(E82&gt;0,"Unassigned hours","-"),IF(E82=0,"Unallocated",IF(E82&gt;F82+0.0001,"Over-allocated",IF(ABS(E82-F82)&lt;0.0001,"Optimally allocated","Under-allocated"))))</f>
        <v>Unallocated</v>
      </c>
      <c r="I82" s="23" t="n">
        <f aca="false">SUMPRODUCT(('Daily Closed-Cancelled'!$A$4:$A$12=$A82)*('Daily Closed-Cancelled'!$C$3:$CP$3&gt;=$B82)*('Daily Closed-Cancelled'!$C$3:$CP$3&lt;=$C82)*'Daily Closed-Cancelled'!$C$4:$CP$12)</f>
        <v>0</v>
      </c>
    </row>
    <row r="83" customFormat="false" ht="15" hidden="false" customHeight="true" outlineLevel="0" collapsed="false">
      <c r="A83" s="20" t="s">
        <v>333</v>
      </c>
      <c r="B83" s="22" t="n">
        <v>46370</v>
      </c>
      <c r="C83" s="22" t="n">
        <v>46376</v>
      </c>
      <c r="D83" s="20" t="n">
        <f aca="false">NETWORKDAYS(MAX(B83,DATE(2026,10,1)),MIN(C83,DATE(2026,12,31)))</f>
        <v>5</v>
      </c>
      <c r="E83" s="23" t="n">
        <f aca="false">SUMPRODUCT(('Daily Expected'!$A$4:$A$12=$A83)*('Daily Expected'!$C$3:$CP$3&gt;=$B83)*('Daily Expected'!$C$3:$CP$3&lt;=$C83)*'Daily Expected'!$C$4:$CP$12)</f>
        <v>47.5</v>
      </c>
      <c r="F83" s="23" t="n">
        <f aca="false">IF($A83="Unassigned",0,D83*'Assignment Calc'!$B$1)</f>
        <v>45</v>
      </c>
      <c r="G83" s="27" t="n">
        <f aca="false">IF(F83=0,0,E83/F83)</f>
        <v>1.05555555555556</v>
      </c>
      <c r="H83" s="20" t="str">
        <f aca="false">IF($A83="Unassigned",IF(E83&gt;0,"Unassigned hours","-"),IF(E83=0,"Unallocated",IF(E83&gt;F83+0.0001,"Over-allocated",IF(ABS(E83-F83)&lt;0.0001,"Optimally allocated","Under-allocated"))))</f>
        <v>Over-allocated</v>
      </c>
      <c r="I83" s="23" t="n">
        <f aca="false">SUMPRODUCT(('Daily Closed-Cancelled'!$A$4:$A$12=$A83)*('Daily Closed-Cancelled'!$C$3:$CP$3&gt;=$B83)*('Daily Closed-Cancelled'!$C$3:$CP$3&lt;=$C83)*'Daily Closed-Cancelled'!$C$4:$CP$12)</f>
        <v>22.5</v>
      </c>
    </row>
    <row r="84" customFormat="false" ht="15" hidden="false" customHeight="true" outlineLevel="0" collapsed="false">
      <c r="A84" s="20" t="s">
        <v>333</v>
      </c>
      <c r="B84" s="22" t="n">
        <v>46377</v>
      </c>
      <c r="C84" s="22" t="n">
        <v>46383</v>
      </c>
      <c r="D84" s="20" t="n">
        <f aca="false">NETWORKDAYS(MAX(B84,DATE(2026,10,1)),MIN(C84,DATE(2026,12,31)))</f>
        <v>5</v>
      </c>
      <c r="E84" s="23" t="n">
        <f aca="false">SUMPRODUCT(('Daily Expected'!$A$4:$A$12=$A84)*('Daily Expected'!$C$3:$CP$3&gt;=$B84)*('Daily Expected'!$C$3:$CP$3&lt;=$C84)*'Daily Expected'!$C$4:$CP$12)</f>
        <v>45</v>
      </c>
      <c r="F84" s="23" t="n">
        <f aca="false">IF($A84="Unassigned",0,D84*'Assignment Calc'!$B$1)</f>
        <v>45</v>
      </c>
      <c r="G84" s="27" t="n">
        <f aca="false">IF(F84=0,0,E84/F84)</f>
        <v>1</v>
      </c>
      <c r="H84" s="20" t="str">
        <f aca="false">IF($A84="Unassigned",IF(E84&gt;0,"Unassigned hours","-"),IF(E84=0,"Unallocated",IF(E84&gt;F84+0.0001,"Over-allocated",IF(ABS(E84-F84)&lt;0.0001,"Optimally allocated","Under-allocated"))))</f>
        <v>Optimally allocated</v>
      </c>
      <c r="I84" s="23" t="n">
        <f aca="false">SUMPRODUCT(('Daily Closed-Cancelled'!$A$4:$A$12=$A84)*('Daily Closed-Cancelled'!$C$3:$CP$3&gt;=$B84)*('Daily Closed-Cancelled'!$C$3:$CP$3&lt;=$C84)*'Daily Closed-Cancelled'!$C$4:$CP$12)</f>
        <v>45</v>
      </c>
    </row>
    <row r="85" customFormat="false" ht="15" hidden="false" customHeight="true" outlineLevel="0" collapsed="false">
      <c r="A85" s="20" t="s">
        <v>333</v>
      </c>
      <c r="B85" s="22" t="n">
        <v>46384</v>
      </c>
      <c r="C85" s="22" t="n">
        <v>46390</v>
      </c>
      <c r="D85" s="20" t="n">
        <f aca="false">NETWORKDAYS(MAX(B85,DATE(2026,10,1)),MIN(C85,DATE(2026,12,31)))</f>
        <v>4</v>
      </c>
      <c r="E85" s="23" t="n">
        <f aca="false">SUMPRODUCT(('Daily Expected'!$A$4:$A$12=$A85)*('Daily Expected'!$C$3:$CP$3&gt;=$B85)*('Daily Expected'!$C$3:$CP$3&lt;=$C85)*'Daily Expected'!$C$4:$CP$12)</f>
        <v>34</v>
      </c>
      <c r="F85" s="23" t="n">
        <f aca="false">IF($A85="Unassigned",0,D85*'Assignment Calc'!$B$1)</f>
        <v>36</v>
      </c>
      <c r="G85" s="27" t="n">
        <f aca="false">IF(F85=0,0,E85/F85)</f>
        <v>0.944444444444444</v>
      </c>
      <c r="H85" s="20" t="str">
        <f aca="false">IF($A85="Unassigned",IF(E85&gt;0,"Unassigned hours","-"),IF(E85=0,"Unallocated",IF(E85&gt;F85+0.0001,"Over-allocated",IF(ABS(E85-F85)&lt;0.0001,"Optimally allocated","Under-allocated"))))</f>
        <v>Under-allocated</v>
      </c>
      <c r="I85" s="23" t="n">
        <f aca="false">SUMPRODUCT(('Daily Closed-Cancelled'!$A$4:$A$12=$A85)*('Daily Closed-Cancelled'!$C$3:$CP$3&gt;=$B85)*('Daily Closed-Cancelled'!$C$3:$CP$3&lt;=$C85)*'Daily Closed-Cancelled'!$C$4:$CP$12)</f>
        <v>0</v>
      </c>
    </row>
    <row r="86" customFormat="false" ht="15" hidden="false" customHeight="true" outlineLevel="0" collapsed="false">
      <c r="A86" s="20" t="s">
        <v>367</v>
      </c>
      <c r="B86" s="22" t="n">
        <v>46293</v>
      </c>
      <c r="C86" s="22" t="n">
        <v>46299</v>
      </c>
      <c r="D86" s="20" t="n">
        <f aca="false">NETWORKDAYS(MAX(B86,DATE(2026,10,1)),MIN(C86,DATE(2026,12,31)))</f>
        <v>2</v>
      </c>
      <c r="E86" s="23" t="n">
        <f aca="false">SUMPRODUCT(('Daily Expected'!$A$4:$A$12=$A86)*('Daily Expected'!$C$3:$CP$3&gt;=$B86)*('Daily Expected'!$C$3:$CP$3&lt;=$C86)*'Daily Expected'!$C$4:$CP$12)</f>
        <v>27</v>
      </c>
      <c r="F86" s="23" t="n">
        <f aca="false">IF($A86="Unassigned",0,D86*'Assignment Calc'!$B$1)</f>
        <v>18</v>
      </c>
      <c r="G86" s="27" t="n">
        <f aca="false">IF(F86=0,0,E86/F86)</f>
        <v>1.5</v>
      </c>
      <c r="H86" s="20" t="str">
        <f aca="false">IF($A86="Unassigned",IF(E86&gt;0,"Unassigned hours","-"),IF(E86=0,"Unallocated",IF(E86&gt;F86+0.0001,"Over-allocated",IF(ABS(E86-F86)&lt;0.0001,"Optimally allocated","Under-allocated"))))</f>
        <v>Over-allocated</v>
      </c>
      <c r="I86" s="23" t="n">
        <f aca="false">SUMPRODUCT(('Daily Closed-Cancelled'!$A$4:$A$12=$A86)*('Daily Closed-Cancelled'!$C$3:$CP$3&gt;=$B86)*('Daily Closed-Cancelled'!$C$3:$CP$3&lt;=$C86)*'Daily Closed-Cancelled'!$C$4:$CP$12)</f>
        <v>0</v>
      </c>
    </row>
    <row r="87" customFormat="false" ht="15" hidden="false" customHeight="true" outlineLevel="0" collapsed="false">
      <c r="A87" s="20" t="s">
        <v>367</v>
      </c>
      <c r="B87" s="22" t="n">
        <v>46300</v>
      </c>
      <c r="C87" s="22" t="n">
        <v>46306</v>
      </c>
      <c r="D87" s="20" t="n">
        <f aca="false">NETWORKDAYS(MAX(B87,DATE(2026,10,1)),MIN(C87,DATE(2026,12,31)))</f>
        <v>5</v>
      </c>
      <c r="E87" s="23" t="n">
        <f aca="false">SUMPRODUCT(('Daily Expected'!$A$4:$A$12=$A87)*('Daily Expected'!$C$3:$CP$3&gt;=$B87)*('Daily Expected'!$C$3:$CP$3&lt;=$C87)*'Daily Expected'!$C$4:$CP$12)</f>
        <v>15</v>
      </c>
      <c r="F87" s="23" t="n">
        <f aca="false">IF($A87="Unassigned",0,D87*'Assignment Calc'!$B$1)</f>
        <v>45</v>
      </c>
      <c r="G87" s="27" t="n">
        <f aca="false">IF(F87=0,0,E87/F87)</f>
        <v>0.333333333333333</v>
      </c>
      <c r="H87" s="20" t="str">
        <f aca="false">IF($A87="Unassigned",IF(E87&gt;0,"Unassigned hours","-"),IF(E87=0,"Unallocated",IF(E87&gt;F87+0.0001,"Over-allocated",IF(ABS(E87-F87)&lt;0.0001,"Optimally allocated","Under-allocated"))))</f>
        <v>Under-allocated</v>
      </c>
      <c r="I87" s="23" t="n">
        <f aca="false">SUMPRODUCT(('Daily Closed-Cancelled'!$A$4:$A$12=$A87)*('Daily Closed-Cancelled'!$C$3:$CP$3&gt;=$B87)*('Daily Closed-Cancelled'!$C$3:$CP$3&lt;=$C87)*'Daily Closed-Cancelled'!$C$4:$CP$12)</f>
        <v>0</v>
      </c>
    </row>
    <row r="88" customFormat="false" ht="15" hidden="false" customHeight="true" outlineLevel="0" collapsed="false">
      <c r="A88" s="20" t="s">
        <v>367</v>
      </c>
      <c r="B88" s="22" t="n">
        <v>46307</v>
      </c>
      <c r="C88" s="22" t="n">
        <v>46313</v>
      </c>
      <c r="D88" s="20" t="n">
        <f aca="false">NETWORKDAYS(MAX(B88,DATE(2026,10,1)),MIN(C88,DATE(2026,12,31)))</f>
        <v>5</v>
      </c>
      <c r="E88" s="23" t="n">
        <f aca="false">SUMPRODUCT(('Daily Expected'!$A$4:$A$12=$A88)*('Daily Expected'!$C$3:$CP$3&gt;=$B88)*('Daily Expected'!$C$3:$CP$3&lt;=$C88)*'Daily Expected'!$C$4:$CP$12)</f>
        <v>0</v>
      </c>
      <c r="F88" s="23" t="n">
        <f aca="false">IF($A88="Unassigned",0,D88*'Assignment Calc'!$B$1)</f>
        <v>45</v>
      </c>
      <c r="G88" s="27" t="n">
        <f aca="false">IF(F88=0,0,E88/F88)</f>
        <v>0</v>
      </c>
      <c r="H88" s="20" t="str">
        <f aca="false">IF($A88="Unassigned",IF(E88&gt;0,"Unassigned hours","-"),IF(E88=0,"Unallocated",IF(E88&gt;F88+0.0001,"Over-allocated",IF(ABS(E88-F88)&lt;0.0001,"Optimally allocated","Under-allocated"))))</f>
        <v>Unallocated</v>
      </c>
      <c r="I88" s="23" t="n">
        <f aca="false">SUMPRODUCT(('Daily Closed-Cancelled'!$A$4:$A$12=$A88)*('Daily Closed-Cancelled'!$C$3:$CP$3&gt;=$B88)*('Daily Closed-Cancelled'!$C$3:$CP$3&lt;=$C88)*'Daily Closed-Cancelled'!$C$4:$CP$12)</f>
        <v>0</v>
      </c>
    </row>
    <row r="89" customFormat="false" ht="15" hidden="false" customHeight="true" outlineLevel="0" collapsed="false">
      <c r="A89" s="20" t="s">
        <v>367</v>
      </c>
      <c r="B89" s="22" t="n">
        <v>46314</v>
      </c>
      <c r="C89" s="22" t="n">
        <v>46320</v>
      </c>
      <c r="D89" s="20" t="n">
        <f aca="false">NETWORKDAYS(MAX(B89,DATE(2026,10,1)),MIN(C89,DATE(2026,12,31)))</f>
        <v>5</v>
      </c>
      <c r="E89" s="23" t="n">
        <f aca="false">SUMPRODUCT(('Daily Expected'!$A$4:$A$12=$A89)*('Daily Expected'!$C$3:$CP$3&gt;=$B89)*('Daily Expected'!$C$3:$CP$3&lt;=$C89)*'Daily Expected'!$C$4:$CP$12)</f>
        <v>60</v>
      </c>
      <c r="F89" s="23" t="n">
        <f aca="false">IF($A89="Unassigned",0,D89*'Assignment Calc'!$B$1)</f>
        <v>45</v>
      </c>
      <c r="G89" s="27" t="n">
        <f aca="false">IF(F89=0,0,E89/F89)</f>
        <v>1.33333333333333</v>
      </c>
      <c r="H89" s="20" t="str">
        <f aca="false">IF($A89="Unassigned",IF(E89&gt;0,"Unassigned hours","-"),IF(E89=0,"Unallocated",IF(E89&gt;F89+0.0001,"Over-allocated",IF(ABS(E89-F89)&lt;0.0001,"Optimally allocated","Under-allocated"))))</f>
        <v>Over-allocated</v>
      </c>
      <c r="I89" s="23" t="n">
        <f aca="false">SUMPRODUCT(('Daily Closed-Cancelled'!$A$4:$A$12=$A89)*('Daily Closed-Cancelled'!$C$3:$CP$3&gt;=$B89)*('Daily Closed-Cancelled'!$C$3:$CP$3&lt;=$C89)*'Daily Closed-Cancelled'!$C$4:$CP$12)</f>
        <v>0</v>
      </c>
    </row>
    <row r="90" customFormat="false" ht="15" hidden="false" customHeight="true" outlineLevel="0" collapsed="false">
      <c r="A90" s="20" t="s">
        <v>367</v>
      </c>
      <c r="B90" s="22" t="n">
        <v>46321</v>
      </c>
      <c r="C90" s="22" t="n">
        <v>46327</v>
      </c>
      <c r="D90" s="20" t="n">
        <f aca="false">NETWORKDAYS(MAX(B90,DATE(2026,10,1)),MIN(C90,DATE(2026,12,31)))</f>
        <v>5</v>
      </c>
      <c r="E90" s="23" t="n">
        <f aca="false">SUMPRODUCT(('Daily Expected'!$A$4:$A$12=$A90)*('Daily Expected'!$C$3:$CP$3&gt;=$B90)*('Daily Expected'!$C$3:$CP$3&lt;=$C90)*'Daily Expected'!$C$4:$CP$12)</f>
        <v>45</v>
      </c>
      <c r="F90" s="23" t="n">
        <f aca="false">IF($A90="Unassigned",0,D90*'Assignment Calc'!$B$1)</f>
        <v>45</v>
      </c>
      <c r="G90" s="27" t="n">
        <f aca="false">IF(F90=0,0,E90/F90)</f>
        <v>1</v>
      </c>
      <c r="H90" s="20" t="str">
        <f aca="false">IF($A90="Unassigned",IF(E90&gt;0,"Unassigned hours","-"),IF(E90=0,"Unallocated",IF(E90&gt;F90+0.0001,"Over-allocated",IF(ABS(E90-F90)&lt;0.0001,"Optimally allocated","Under-allocated"))))</f>
        <v>Optimally allocated</v>
      </c>
      <c r="I90" s="23" t="n">
        <f aca="false">SUMPRODUCT(('Daily Closed-Cancelled'!$A$4:$A$12=$A90)*('Daily Closed-Cancelled'!$C$3:$CP$3&gt;=$B90)*('Daily Closed-Cancelled'!$C$3:$CP$3&lt;=$C90)*'Daily Closed-Cancelled'!$C$4:$CP$12)</f>
        <v>0</v>
      </c>
    </row>
    <row r="91" customFormat="false" ht="15" hidden="false" customHeight="true" outlineLevel="0" collapsed="false">
      <c r="A91" s="20" t="s">
        <v>367</v>
      </c>
      <c r="B91" s="22" t="n">
        <v>46328</v>
      </c>
      <c r="C91" s="22" t="n">
        <v>46334</v>
      </c>
      <c r="D91" s="20" t="n">
        <f aca="false">NETWORKDAYS(MAX(B91,DATE(2026,10,1)),MIN(C91,DATE(2026,12,31)))</f>
        <v>5</v>
      </c>
      <c r="E91" s="23" t="n">
        <f aca="false">SUMPRODUCT(('Daily Expected'!$A$4:$A$12=$A91)*('Daily Expected'!$C$3:$CP$3&gt;=$B91)*('Daily Expected'!$C$3:$CP$3&lt;=$C91)*'Daily Expected'!$C$4:$CP$12)</f>
        <v>0</v>
      </c>
      <c r="F91" s="23" t="n">
        <f aca="false">IF($A91="Unassigned",0,D91*'Assignment Calc'!$B$1)</f>
        <v>45</v>
      </c>
      <c r="G91" s="27" t="n">
        <f aca="false">IF(F91=0,0,E91/F91)</f>
        <v>0</v>
      </c>
      <c r="H91" s="20" t="str">
        <f aca="false">IF($A91="Unassigned",IF(E91&gt;0,"Unassigned hours","-"),IF(E91=0,"Unallocated",IF(E91&gt;F91+0.0001,"Over-allocated",IF(ABS(E91-F91)&lt;0.0001,"Optimally allocated","Under-allocated"))))</f>
        <v>Unallocated</v>
      </c>
      <c r="I91" s="23" t="n">
        <f aca="false">SUMPRODUCT(('Daily Closed-Cancelled'!$A$4:$A$12=$A91)*('Daily Closed-Cancelled'!$C$3:$CP$3&gt;=$B91)*('Daily Closed-Cancelled'!$C$3:$CP$3&lt;=$C91)*'Daily Closed-Cancelled'!$C$4:$CP$12)</f>
        <v>0</v>
      </c>
    </row>
    <row r="92" customFormat="false" ht="15" hidden="false" customHeight="true" outlineLevel="0" collapsed="false">
      <c r="A92" s="20" t="s">
        <v>367</v>
      </c>
      <c r="B92" s="22" t="n">
        <v>46335</v>
      </c>
      <c r="C92" s="22" t="n">
        <v>46341</v>
      </c>
      <c r="D92" s="20" t="n">
        <f aca="false">NETWORKDAYS(MAX(B92,DATE(2026,10,1)),MIN(C92,DATE(2026,12,31)))</f>
        <v>5</v>
      </c>
      <c r="E92" s="23" t="n">
        <f aca="false">SUMPRODUCT(('Daily Expected'!$A$4:$A$12=$A92)*('Daily Expected'!$C$3:$CP$3&gt;=$B92)*('Daily Expected'!$C$3:$CP$3&lt;=$C92)*'Daily Expected'!$C$4:$CP$12)</f>
        <v>67.5</v>
      </c>
      <c r="F92" s="23" t="n">
        <f aca="false">IF($A92="Unassigned",0,D92*'Assignment Calc'!$B$1)</f>
        <v>45</v>
      </c>
      <c r="G92" s="27" t="n">
        <f aca="false">IF(F92=0,0,E92/F92)</f>
        <v>1.5</v>
      </c>
      <c r="H92" s="20" t="str">
        <f aca="false">IF($A92="Unassigned",IF(E92&gt;0,"Unassigned hours","-"),IF(E92=0,"Unallocated",IF(E92&gt;F92+0.0001,"Over-allocated",IF(ABS(E92-F92)&lt;0.0001,"Optimally allocated","Under-allocated"))))</f>
        <v>Over-allocated</v>
      </c>
      <c r="I92" s="23" t="n">
        <f aca="false">SUMPRODUCT(('Daily Closed-Cancelled'!$A$4:$A$12=$A92)*('Daily Closed-Cancelled'!$C$3:$CP$3&gt;=$B92)*('Daily Closed-Cancelled'!$C$3:$CP$3&lt;=$C92)*'Daily Closed-Cancelled'!$C$4:$CP$12)</f>
        <v>0</v>
      </c>
    </row>
    <row r="93" customFormat="false" ht="15" hidden="false" customHeight="true" outlineLevel="0" collapsed="false">
      <c r="A93" s="20" t="s">
        <v>367</v>
      </c>
      <c r="B93" s="22" t="n">
        <v>46342</v>
      </c>
      <c r="C93" s="22" t="n">
        <v>46348</v>
      </c>
      <c r="D93" s="20" t="n">
        <f aca="false">NETWORKDAYS(MAX(B93,DATE(2026,10,1)),MIN(C93,DATE(2026,12,31)))</f>
        <v>5</v>
      </c>
      <c r="E93" s="23" t="n">
        <f aca="false">SUMPRODUCT(('Daily Expected'!$A$4:$A$12=$A93)*('Daily Expected'!$C$3:$CP$3&gt;=$B93)*('Daily Expected'!$C$3:$CP$3&lt;=$C93)*'Daily Expected'!$C$4:$CP$12)</f>
        <v>45</v>
      </c>
      <c r="F93" s="23" t="n">
        <f aca="false">IF($A93="Unassigned",0,D93*'Assignment Calc'!$B$1)</f>
        <v>45</v>
      </c>
      <c r="G93" s="27" t="n">
        <f aca="false">IF(F93=0,0,E93/F93)</f>
        <v>1</v>
      </c>
      <c r="H93" s="20" t="str">
        <f aca="false">IF($A93="Unassigned",IF(E93&gt;0,"Unassigned hours","-"),IF(E93=0,"Unallocated",IF(E93&gt;F93+0.0001,"Over-allocated",IF(ABS(E93-F93)&lt;0.0001,"Optimally allocated","Under-allocated"))))</f>
        <v>Optimally allocated</v>
      </c>
      <c r="I93" s="23" t="n">
        <f aca="false">SUMPRODUCT(('Daily Closed-Cancelled'!$A$4:$A$12=$A93)*('Daily Closed-Cancelled'!$C$3:$CP$3&gt;=$B93)*('Daily Closed-Cancelled'!$C$3:$CP$3&lt;=$C93)*'Daily Closed-Cancelled'!$C$4:$CP$12)</f>
        <v>45</v>
      </c>
    </row>
    <row r="94" customFormat="false" ht="15" hidden="false" customHeight="true" outlineLevel="0" collapsed="false">
      <c r="A94" s="20" t="s">
        <v>367</v>
      </c>
      <c r="B94" s="22" t="n">
        <v>46349</v>
      </c>
      <c r="C94" s="22" t="n">
        <v>46355</v>
      </c>
      <c r="D94" s="20" t="n">
        <f aca="false">NETWORKDAYS(MAX(B94,DATE(2026,10,1)),MIN(C94,DATE(2026,12,31)))</f>
        <v>5</v>
      </c>
      <c r="E94" s="23" t="n">
        <f aca="false">SUMPRODUCT(('Daily Expected'!$A$4:$A$12=$A94)*('Daily Expected'!$C$3:$CP$3&gt;=$B94)*('Daily Expected'!$C$3:$CP$3&lt;=$C94)*'Daily Expected'!$C$4:$CP$12)</f>
        <v>11.25</v>
      </c>
      <c r="F94" s="23" t="n">
        <f aca="false">IF($A94="Unassigned",0,D94*'Assignment Calc'!$B$1)</f>
        <v>45</v>
      </c>
      <c r="G94" s="27" t="n">
        <f aca="false">IF(F94=0,0,E94/F94)</f>
        <v>0.25</v>
      </c>
      <c r="H94" s="20" t="str">
        <f aca="false">IF($A94="Unassigned",IF(E94&gt;0,"Unassigned hours","-"),IF(E94=0,"Unallocated",IF(E94&gt;F94+0.0001,"Over-allocated",IF(ABS(E94-F94)&lt;0.0001,"Optimally allocated","Under-allocated"))))</f>
        <v>Under-allocated</v>
      </c>
      <c r="I94" s="23" t="n">
        <f aca="false">SUMPRODUCT(('Daily Closed-Cancelled'!$A$4:$A$12=$A94)*('Daily Closed-Cancelled'!$C$3:$CP$3&gt;=$B94)*('Daily Closed-Cancelled'!$C$3:$CP$3&lt;=$C94)*'Daily Closed-Cancelled'!$C$4:$CP$12)</f>
        <v>11.25</v>
      </c>
    </row>
    <row r="95" customFormat="false" ht="15" hidden="false" customHeight="true" outlineLevel="0" collapsed="false">
      <c r="A95" s="20" t="s">
        <v>367</v>
      </c>
      <c r="B95" s="22" t="n">
        <v>46356</v>
      </c>
      <c r="C95" s="22" t="n">
        <v>46362</v>
      </c>
      <c r="D95" s="20" t="n">
        <f aca="false">NETWORKDAYS(MAX(B95,DATE(2026,10,1)),MIN(C95,DATE(2026,12,31)))</f>
        <v>5</v>
      </c>
      <c r="E95" s="23" t="n">
        <f aca="false">SUMPRODUCT(('Daily Expected'!$A$4:$A$12=$A95)*('Daily Expected'!$C$3:$CP$3&gt;=$B95)*('Daily Expected'!$C$3:$CP$3&lt;=$C95)*'Daily Expected'!$C$4:$CP$12)</f>
        <v>12</v>
      </c>
      <c r="F95" s="23" t="n">
        <f aca="false">IF($A95="Unassigned",0,D95*'Assignment Calc'!$B$1)</f>
        <v>45</v>
      </c>
      <c r="G95" s="27" t="n">
        <f aca="false">IF(F95=0,0,E95/F95)</f>
        <v>0.266666666666667</v>
      </c>
      <c r="H95" s="20" t="str">
        <f aca="false">IF($A95="Unassigned",IF(E95&gt;0,"Unassigned hours","-"),IF(E95=0,"Unallocated",IF(E95&gt;F95+0.0001,"Over-allocated",IF(ABS(E95-F95)&lt;0.0001,"Optimally allocated","Under-allocated"))))</f>
        <v>Under-allocated</v>
      </c>
      <c r="I95" s="23" t="n">
        <f aca="false">SUMPRODUCT(('Daily Closed-Cancelled'!$A$4:$A$12=$A95)*('Daily Closed-Cancelled'!$C$3:$CP$3&gt;=$B95)*('Daily Closed-Cancelled'!$C$3:$CP$3&lt;=$C95)*'Daily Closed-Cancelled'!$C$4:$CP$12)</f>
        <v>12</v>
      </c>
    </row>
    <row r="96" customFormat="false" ht="15" hidden="false" customHeight="true" outlineLevel="0" collapsed="false">
      <c r="A96" s="20" t="s">
        <v>367</v>
      </c>
      <c r="B96" s="22" t="n">
        <v>46363</v>
      </c>
      <c r="C96" s="22" t="n">
        <v>46369</v>
      </c>
      <c r="D96" s="20" t="n">
        <f aca="false">NETWORKDAYS(MAX(B96,DATE(2026,10,1)),MIN(C96,DATE(2026,12,31)))</f>
        <v>5</v>
      </c>
      <c r="E96" s="23" t="n">
        <f aca="false">SUMPRODUCT(('Daily Expected'!$A$4:$A$12=$A96)*('Daily Expected'!$C$3:$CP$3&gt;=$B96)*('Daily Expected'!$C$3:$CP$3&lt;=$C96)*'Daily Expected'!$C$4:$CP$12)</f>
        <v>52.5</v>
      </c>
      <c r="F96" s="23" t="n">
        <f aca="false">IF($A96="Unassigned",0,D96*'Assignment Calc'!$B$1)</f>
        <v>45</v>
      </c>
      <c r="G96" s="27" t="n">
        <f aca="false">IF(F96=0,0,E96/F96)</f>
        <v>1.16666666666667</v>
      </c>
      <c r="H96" s="20" t="str">
        <f aca="false">IF($A96="Unassigned",IF(E96&gt;0,"Unassigned hours","-"),IF(E96=0,"Unallocated",IF(E96&gt;F96+0.0001,"Over-allocated",IF(ABS(E96-F96)&lt;0.0001,"Optimally allocated","Under-allocated"))))</f>
        <v>Over-allocated</v>
      </c>
      <c r="I96" s="23" t="n">
        <f aca="false">SUMPRODUCT(('Daily Closed-Cancelled'!$A$4:$A$12=$A96)*('Daily Closed-Cancelled'!$C$3:$CP$3&gt;=$B96)*('Daily Closed-Cancelled'!$C$3:$CP$3&lt;=$C96)*'Daily Closed-Cancelled'!$C$4:$CP$12)</f>
        <v>0</v>
      </c>
    </row>
    <row r="97" customFormat="false" ht="15" hidden="false" customHeight="true" outlineLevel="0" collapsed="false">
      <c r="A97" s="20" t="s">
        <v>367</v>
      </c>
      <c r="B97" s="22" t="n">
        <v>46370</v>
      </c>
      <c r="C97" s="22" t="n">
        <v>46376</v>
      </c>
      <c r="D97" s="20" t="n">
        <f aca="false">NETWORKDAYS(MAX(B97,DATE(2026,10,1)),MIN(C97,DATE(2026,12,31)))</f>
        <v>5</v>
      </c>
      <c r="E97" s="23" t="n">
        <f aca="false">SUMPRODUCT(('Daily Expected'!$A$4:$A$12=$A97)*('Daily Expected'!$C$3:$CP$3&gt;=$B97)*('Daily Expected'!$C$3:$CP$3&lt;=$C97)*'Daily Expected'!$C$4:$CP$12)</f>
        <v>45</v>
      </c>
      <c r="F97" s="23" t="n">
        <f aca="false">IF($A97="Unassigned",0,D97*'Assignment Calc'!$B$1)</f>
        <v>45</v>
      </c>
      <c r="G97" s="27" t="n">
        <f aca="false">IF(F97=0,0,E97/F97)</f>
        <v>1</v>
      </c>
      <c r="H97" s="20" t="str">
        <f aca="false">IF($A97="Unassigned",IF(E97&gt;0,"Unassigned hours","-"),IF(E97=0,"Unallocated",IF(E97&gt;F97+0.0001,"Over-allocated",IF(ABS(E97-F97)&lt;0.0001,"Optimally allocated","Under-allocated"))))</f>
        <v>Optimally allocated</v>
      </c>
      <c r="I97" s="23" t="n">
        <f aca="false">SUMPRODUCT(('Daily Closed-Cancelled'!$A$4:$A$12=$A97)*('Daily Closed-Cancelled'!$C$3:$CP$3&gt;=$B97)*('Daily Closed-Cancelled'!$C$3:$CP$3&lt;=$C97)*'Daily Closed-Cancelled'!$C$4:$CP$12)</f>
        <v>0</v>
      </c>
    </row>
    <row r="98" customFormat="false" ht="15" hidden="false" customHeight="true" outlineLevel="0" collapsed="false">
      <c r="A98" s="20" t="s">
        <v>367</v>
      </c>
      <c r="B98" s="22" t="n">
        <v>46377</v>
      </c>
      <c r="C98" s="22" t="n">
        <v>46383</v>
      </c>
      <c r="D98" s="20" t="n">
        <f aca="false">NETWORKDAYS(MAX(B98,DATE(2026,10,1)),MIN(C98,DATE(2026,12,31)))</f>
        <v>5</v>
      </c>
      <c r="E98" s="23" t="n">
        <f aca="false">SUMPRODUCT(('Daily Expected'!$A$4:$A$12=$A98)*('Daily Expected'!$C$3:$CP$3&gt;=$B98)*('Daily Expected'!$C$3:$CP$3&lt;=$C98)*'Daily Expected'!$C$4:$CP$12)</f>
        <v>22.5</v>
      </c>
      <c r="F98" s="23" t="n">
        <f aca="false">IF($A98="Unassigned",0,D98*'Assignment Calc'!$B$1)</f>
        <v>45</v>
      </c>
      <c r="G98" s="27" t="n">
        <f aca="false">IF(F98=0,0,E98/F98)</f>
        <v>0.5</v>
      </c>
      <c r="H98" s="20" t="str">
        <f aca="false">IF($A98="Unassigned",IF(E98&gt;0,"Unassigned hours","-"),IF(E98=0,"Unallocated",IF(E98&gt;F98+0.0001,"Over-allocated",IF(ABS(E98-F98)&lt;0.0001,"Optimally allocated","Under-allocated"))))</f>
        <v>Under-allocated</v>
      </c>
      <c r="I98" s="23" t="n">
        <f aca="false">SUMPRODUCT(('Daily Closed-Cancelled'!$A$4:$A$12=$A98)*('Daily Closed-Cancelled'!$C$3:$CP$3&gt;=$B98)*('Daily Closed-Cancelled'!$C$3:$CP$3&lt;=$C98)*'Daily Closed-Cancelled'!$C$4:$CP$12)</f>
        <v>0</v>
      </c>
    </row>
    <row r="99" customFormat="false" ht="15" hidden="false" customHeight="true" outlineLevel="0" collapsed="false">
      <c r="A99" s="20" t="s">
        <v>367</v>
      </c>
      <c r="B99" s="22" t="n">
        <v>46384</v>
      </c>
      <c r="C99" s="22" t="n">
        <v>46390</v>
      </c>
      <c r="D99" s="20" t="n">
        <f aca="false">NETWORKDAYS(MAX(B99,DATE(2026,10,1)),MIN(C99,DATE(2026,12,31)))</f>
        <v>4</v>
      </c>
      <c r="E99" s="23" t="n">
        <f aca="false">SUMPRODUCT(('Daily Expected'!$A$4:$A$12=$A99)*('Daily Expected'!$C$3:$CP$3&gt;=$B99)*('Daily Expected'!$C$3:$CP$3&lt;=$C99)*'Daily Expected'!$C$4:$CP$12)</f>
        <v>0</v>
      </c>
      <c r="F99" s="23" t="n">
        <f aca="false">IF($A99="Unassigned",0,D99*'Assignment Calc'!$B$1)</f>
        <v>36</v>
      </c>
      <c r="G99" s="27" t="n">
        <f aca="false">IF(F99=0,0,E99/F99)</f>
        <v>0</v>
      </c>
      <c r="H99" s="20" t="str">
        <f aca="false">IF($A99="Unassigned",IF(E99&gt;0,"Unassigned hours","-"),IF(E99=0,"Unallocated",IF(E99&gt;F99+0.0001,"Over-allocated",IF(ABS(E99-F99)&lt;0.0001,"Optimally allocated","Under-allocated"))))</f>
        <v>Unallocated</v>
      </c>
      <c r="I99" s="23" t="n">
        <f aca="false">SUMPRODUCT(('Daily Closed-Cancelled'!$A$4:$A$12=$A99)*('Daily Closed-Cancelled'!$C$3:$CP$3&gt;=$B99)*('Daily Closed-Cancelled'!$C$3:$CP$3&lt;=$C99)*'Daily Closed-Cancelled'!$C$4:$CP$12)</f>
        <v>0</v>
      </c>
    </row>
    <row r="100" customFormat="false" ht="15" hidden="false" customHeight="true" outlineLevel="0" collapsed="false">
      <c r="A100" s="20" t="s">
        <v>397</v>
      </c>
      <c r="B100" s="22" t="n">
        <v>46293</v>
      </c>
      <c r="C100" s="22" t="n">
        <v>46299</v>
      </c>
      <c r="D100" s="20" t="n">
        <f aca="false">NETWORKDAYS(MAX(B100,DATE(2026,10,1)),MIN(C100,DATE(2026,12,31)))</f>
        <v>2</v>
      </c>
      <c r="E100" s="23" t="n">
        <f aca="false">SUMPRODUCT(('Daily Expected'!$A$4:$A$12=$A100)*('Daily Expected'!$C$3:$CP$3&gt;=$B100)*('Daily Expected'!$C$3:$CP$3&lt;=$C100)*'Daily Expected'!$C$4:$CP$12)</f>
        <v>5.4</v>
      </c>
      <c r="F100" s="23" t="n">
        <f aca="false">IF($A100="Unassigned",0,D100*'Assignment Calc'!$B$1)</f>
        <v>18</v>
      </c>
      <c r="G100" s="27" t="n">
        <f aca="false">IF(F100=0,0,E100/F100)</f>
        <v>0.3</v>
      </c>
      <c r="H100" s="20" t="str">
        <f aca="false">IF($A100="Unassigned",IF(E100&gt;0,"Unassigned hours","-"),IF(E100=0,"Unallocated",IF(E100&gt;F100+0.0001,"Over-allocated",IF(ABS(E100-F100)&lt;0.0001,"Optimally allocated","Under-allocated"))))</f>
        <v>Under-allocated</v>
      </c>
      <c r="I100" s="23" t="n">
        <f aca="false">SUMPRODUCT(('Daily Closed-Cancelled'!$A$4:$A$12=$A100)*('Daily Closed-Cancelled'!$C$3:$CP$3&gt;=$B100)*('Daily Closed-Cancelled'!$C$3:$CP$3&lt;=$C100)*'Daily Closed-Cancelled'!$C$4:$CP$12)</f>
        <v>0</v>
      </c>
    </row>
    <row r="101" customFormat="false" ht="15" hidden="false" customHeight="true" outlineLevel="0" collapsed="false">
      <c r="A101" s="20" t="s">
        <v>397</v>
      </c>
      <c r="B101" s="22" t="n">
        <v>46300</v>
      </c>
      <c r="C101" s="22" t="n">
        <v>46306</v>
      </c>
      <c r="D101" s="20" t="n">
        <f aca="false">NETWORKDAYS(MAX(B101,DATE(2026,10,1)),MIN(C101,DATE(2026,12,31)))</f>
        <v>5</v>
      </c>
      <c r="E101" s="23" t="n">
        <f aca="false">SUMPRODUCT(('Daily Expected'!$A$4:$A$12=$A101)*('Daily Expected'!$C$3:$CP$3&gt;=$B101)*('Daily Expected'!$C$3:$CP$3&lt;=$C101)*'Daily Expected'!$C$4:$CP$12)</f>
        <v>0</v>
      </c>
      <c r="F101" s="23" t="n">
        <f aca="false">IF($A101="Unassigned",0,D101*'Assignment Calc'!$B$1)</f>
        <v>45</v>
      </c>
      <c r="G101" s="27" t="n">
        <f aca="false">IF(F101=0,0,E101/F101)</f>
        <v>0</v>
      </c>
      <c r="H101" s="20" t="str">
        <f aca="false">IF($A101="Unassigned",IF(E101&gt;0,"Unassigned hours","-"),IF(E101=0,"Unallocated",IF(E101&gt;F101+0.0001,"Over-allocated",IF(ABS(E101-F101)&lt;0.0001,"Optimally allocated","Under-allocated"))))</f>
        <v>Unallocated</v>
      </c>
      <c r="I101" s="23" t="n">
        <f aca="false">SUMPRODUCT(('Daily Closed-Cancelled'!$A$4:$A$12=$A101)*('Daily Closed-Cancelled'!$C$3:$CP$3&gt;=$B101)*('Daily Closed-Cancelled'!$C$3:$CP$3&lt;=$C101)*'Daily Closed-Cancelled'!$C$4:$CP$12)</f>
        <v>0</v>
      </c>
    </row>
    <row r="102" customFormat="false" ht="15" hidden="false" customHeight="true" outlineLevel="0" collapsed="false">
      <c r="A102" s="20" t="s">
        <v>397</v>
      </c>
      <c r="B102" s="22" t="n">
        <v>46307</v>
      </c>
      <c r="C102" s="22" t="n">
        <v>46313</v>
      </c>
      <c r="D102" s="20" t="n">
        <f aca="false">NETWORKDAYS(MAX(B102,DATE(2026,10,1)),MIN(C102,DATE(2026,12,31)))</f>
        <v>5</v>
      </c>
      <c r="E102" s="23" t="n">
        <f aca="false">SUMPRODUCT(('Daily Expected'!$A$4:$A$12=$A102)*('Daily Expected'!$C$3:$CP$3&gt;=$B102)*('Daily Expected'!$C$3:$CP$3&lt;=$C102)*'Daily Expected'!$C$4:$CP$12)</f>
        <v>47.5</v>
      </c>
      <c r="F102" s="23" t="n">
        <f aca="false">IF($A102="Unassigned",0,D102*'Assignment Calc'!$B$1)</f>
        <v>45</v>
      </c>
      <c r="G102" s="27" t="n">
        <f aca="false">IF(F102=0,0,E102/F102)</f>
        <v>1.05555555555556</v>
      </c>
      <c r="H102" s="20" t="str">
        <f aca="false">IF($A102="Unassigned",IF(E102&gt;0,"Unassigned hours","-"),IF(E102=0,"Unallocated",IF(E102&gt;F102+0.0001,"Over-allocated",IF(ABS(E102-F102)&lt;0.0001,"Optimally allocated","Under-allocated"))))</f>
        <v>Over-allocated</v>
      </c>
      <c r="I102" s="23" t="n">
        <f aca="false">SUMPRODUCT(('Daily Closed-Cancelled'!$A$4:$A$12=$A102)*('Daily Closed-Cancelled'!$C$3:$CP$3&gt;=$B102)*('Daily Closed-Cancelled'!$C$3:$CP$3&lt;=$C102)*'Daily Closed-Cancelled'!$C$4:$CP$12)</f>
        <v>22.5</v>
      </c>
    </row>
    <row r="103" customFormat="false" ht="15" hidden="false" customHeight="true" outlineLevel="0" collapsed="false">
      <c r="A103" s="20" t="s">
        <v>397</v>
      </c>
      <c r="B103" s="22" t="n">
        <v>46314</v>
      </c>
      <c r="C103" s="22" t="n">
        <v>46320</v>
      </c>
      <c r="D103" s="20" t="n">
        <f aca="false">NETWORKDAYS(MAX(B103,DATE(2026,10,1)),MIN(C103,DATE(2026,12,31)))</f>
        <v>5</v>
      </c>
      <c r="E103" s="23" t="n">
        <f aca="false">SUMPRODUCT(('Daily Expected'!$A$4:$A$12=$A103)*('Daily Expected'!$C$3:$CP$3&gt;=$B103)*('Daily Expected'!$C$3:$CP$3&lt;=$C103)*'Daily Expected'!$C$4:$CP$12)</f>
        <v>45</v>
      </c>
      <c r="F103" s="23" t="n">
        <f aca="false">IF($A103="Unassigned",0,D103*'Assignment Calc'!$B$1)</f>
        <v>45</v>
      </c>
      <c r="G103" s="27" t="n">
        <f aca="false">IF(F103=0,0,E103/F103)</f>
        <v>1</v>
      </c>
      <c r="H103" s="20" t="str">
        <f aca="false">IF($A103="Unassigned",IF(E103&gt;0,"Unassigned hours","-"),IF(E103=0,"Unallocated",IF(E103&gt;F103+0.0001,"Over-allocated",IF(ABS(E103-F103)&lt;0.0001,"Optimally allocated","Under-allocated"))))</f>
        <v>Optimally allocated</v>
      </c>
      <c r="I103" s="23" t="n">
        <f aca="false">SUMPRODUCT(('Daily Closed-Cancelled'!$A$4:$A$12=$A103)*('Daily Closed-Cancelled'!$C$3:$CP$3&gt;=$B103)*('Daily Closed-Cancelled'!$C$3:$CP$3&lt;=$C103)*'Daily Closed-Cancelled'!$C$4:$CP$12)</f>
        <v>45</v>
      </c>
    </row>
    <row r="104" customFormat="false" ht="15" hidden="false" customHeight="true" outlineLevel="0" collapsed="false">
      <c r="A104" s="20" t="s">
        <v>397</v>
      </c>
      <c r="B104" s="22" t="n">
        <v>46321</v>
      </c>
      <c r="C104" s="22" t="n">
        <v>46327</v>
      </c>
      <c r="D104" s="20" t="n">
        <f aca="false">NETWORKDAYS(MAX(B104,DATE(2026,10,1)),MIN(C104,DATE(2026,12,31)))</f>
        <v>5</v>
      </c>
      <c r="E104" s="23" t="n">
        <f aca="false">SUMPRODUCT(('Daily Expected'!$A$4:$A$12=$A104)*('Daily Expected'!$C$3:$CP$3&gt;=$B104)*('Daily Expected'!$C$3:$CP$3&lt;=$C104)*'Daily Expected'!$C$4:$CP$12)</f>
        <v>42.5</v>
      </c>
      <c r="F104" s="23" t="n">
        <f aca="false">IF($A104="Unassigned",0,D104*'Assignment Calc'!$B$1)</f>
        <v>45</v>
      </c>
      <c r="G104" s="27" t="n">
        <f aca="false">IF(F104=0,0,E104/F104)</f>
        <v>0.944444444444444</v>
      </c>
      <c r="H104" s="20" t="str">
        <f aca="false">IF($A104="Unassigned",IF(E104&gt;0,"Unassigned hours","-"),IF(E104=0,"Unallocated",IF(E104&gt;F104+0.0001,"Over-allocated",IF(ABS(E104-F104)&lt;0.0001,"Optimally allocated","Under-allocated"))))</f>
        <v>Under-allocated</v>
      </c>
      <c r="I104" s="23" t="n">
        <f aca="false">SUMPRODUCT(('Daily Closed-Cancelled'!$A$4:$A$12=$A104)*('Daily Closed-Cancelled'!$C$3:$CP$3&gt;=$B104)*('Daily Closed-Cancelled'!$C$3:$CP$3&lt;=$C104)*'Daily Closed-Cancelled'!$C$4:$CP$12)</f>
        <v>0</v>
      </c>
    </row>
    <row r="105" customFormat="false" ht="15" hidden="false" customHeight="true" outlineLevel="0" collapsed="false">
      <c r="A105" s="20" t="s">
        <v>397</v>
      </c>
      <c r="B105" s="22" t="n">
        <v>46328</v>
      </c>
      <c r="C105" s="22" t="n">
        <v>46334</v>
      </c>
      <c r="D105" s="20" t="n">
        <f aca="false">NETWORKDAYS(MAX(B105,DATE(2026,10,1)),MIN(C105,DATE(2026,12,31)))</f>
        <v>5</v>
      </c>
      <c r="E105" s="23" t="n">
        <f aca="false">SUMPRODUCT(('Daily Expected'!$A$4:$A$12=$A105)*('Daily Expected'!$C$3:$CP$3&gt;=$B105)*('Daily Expected'!$C$3:$CP$3&lt;=$C105)*'Daily Expected'!$C$4:$CP$12)</f>
        <v>60</v>
      </c>
      <c r="F105" s="23" t="n">
        <f aca="false">IF($A105="Unassigned",0,D105*'Assignment Calc'!$B$1)</f>
        <v>45</v>
      </c>
      <c r="G105" s="27" t="n">
        <f aca="false">IF(F105=0,0,E105/F105)</f>
        <v>1.33333333333333</v>
      </c>
      <c r="H105" s="20" t="str">
        <f aca="false">IF($A105="Unassigned",IF(E105&gt;0,"Unassigned hours","-"),IF(E105=0,"Unallocated",IF(E105&gt;F105+0.0001,"Over-allocated",IF(ABS(E105-F105)&lt;0.0001,"Optimally allocated","Under-allocated"))))</f>
        <v>Over-allocated</v>
      </c>
      <c r="I105" s="23" t="n">
        <f aca="false">SUMPRODUCT(('Daily Closed-Cancelled'!$A$4:$A$12=$A105)*('Daily Closed-Cancelled'!$C$3:$CP$3&gt;=$B105)*('Daily Closed-Cancelled'!$C$3:$CP$3&lt;=$C105)*'Daily Closed-Cancelled'!$C$4:$CP$12)</f>
        <v>0</v>
      </c>
    </row>
    <row r="106" customFormat="false" ht="15" hidden="false" customHeight="true" outlineLevel="0" collapsed="false">
      <c r="A106" s="20" t="s">
        <v>397</v>
      </c>
      <c r="B106" s="22" t="n">
        <v>46335</v>
      </c>
      <c r="C106" s="22" t="n">
        <v>46341</v>
      </c>
      <c r="D106" s="20" t="n">
        <f aca="false">NETWORKDAYS(MAX(B106,DATE(2026,10,1)),MIN(C106,DATE(2026,12,31)))</f>
        <v>5</v>
      </c>
      <c r="E106" s="23" t="n">
        <f aca="false">SUMPRODUCT(('Daily Expected'!$A$4:$A$12=$A106)*('Daily Expected'!$C$3:$CP$3&gt;=$B106)*('Daily Expected'!$C$3:$CP$3&lt;=$C106)*'Daily Expected'!$C$4:$CP$12)</f>
        <v>45</v>
      </c>
      <c r="F106" s="23" t="n">
        <f aca="false">IF($A106="Unassigned",0,D106*'Assignment Calc'!$B$1)</f>
        <v>45</v>
      </c>
      <c r="G106" s="27" t="n">
        <f aca="false">IF(F106=0,0,E106/F106)</f>
        <v>1</v>
      </c>
      <c r="H106" s="20" t="str">
        <f aca="false">IF($A106="Unassigned",IF(E106&gt;0,"Unassigned hours","-"),IF(E106=0,"Unallocated",IF(E106&gt;F106+0.0001,"Over-allocated",IF(ABS(E106-F106)&lt;0.0001,"Optimally allocated","Under-allocated"))))</f>
        <v>Optimally allocated</v>
      </c>
      <c r="I106" s="23" t="n">
        <f aca="false">SUMPRODUCT(('Daily Closed-Cancelled'!$A$4:$A$12=$A106)*('Daily Closed-Cancelled'!$C$3:$CP$3&gt;=$B106)*('Daily Closed-Cancelled'!$C$3:$CP$3&lt;=$C106)*'Daily Closed-Cancelled'!$C$4:$CP$12)</f>
        <v>0</v>
      </c>
    </row>
    <row r="107" customFormat="false" ht="15" hidden="false" customHeight="true" outlineLevel="0" collapsed="false">
      <c r="A107" s="20" t="s">
        <v>397</v>
      </c>
      <c r="B107" s="22" t="n">
        <v>46342</v>
      </c>
      <c r="C107" s="22" t="n">
        <v>46348</v>
      </c>
      <c r="D107" s="20" t="n">
        <f aca="false">NETWORKDAYS(MAX(B107,DATE(2026,10,1)),MIN(C107,DATE(2026,12,31)))</f>
        <v>5</v>
      </c>
      <c r="E107" s="23" t="n">
        <f aca="false">SUMPRODUCT(('Daily Expected'!$A$4:$A$12=$A107)*('Daily Expected'!$C$3:$CP$3&gt;=$B107)*('Daily Expected'!$C$3:$CP$3&lt;=$C107)*'Daily Expected'!$C$4:$CP$12)</f>
        <v>15</v>
      </c>
      <c r="F107" s="23" t="n">
        <f aca="false">IF($A107="Unassigned",0,D107*'Assignment Calc'!$B$1)</f>
        <v>45</v>
      </c>
      <c r="G107" s="27" t="n">
        <f aca="false">IF(F107=0,0,E107/F107)</f>
        <v>0.333333333333333</v>
      </c>
      <c r="H107" s="20" t="str">
        <f aca="false">IF($A107="Unassigned",IF(E107&gt;0,"Unassigned hours","-"),IF(E107=0,"Unallocated",IF(E107&gt;F107+0.0001,"Over-allocated",IF(ABS(E107-F107)&lt;0.0001,"Optimally allocated","Under-allocated"))))</f>
        <v>Under-allocated</v>
      </c>
      <c r="I107" s="23" t="n">
        <f aca="false">SUMPRODUCT(('Daily Closed-Cancelled'!$A$4:$A$12=$A107)*('Daily Closed-Cancelled'!$C$3:$CP$3&gt;=$B107)*('Daily Closed-Cancelled'!$C$3:$CP$3&lt;=$C107)*'Daily Closed-Cancelled'!$C$4:$CP$12)</f>
        <v>0</v>
      </c>
    </row>
    <row r="108" customFormat="false" ht="15" hidden="false" customHeight="true" outlineLevel="0" collapsed="false">
      <c r="A108" s="20" t="s">
        <v>397</v>
      </c>
      <c r="B108" s="22" t="n">
        <v>46349</v>
      </c>
      <c r="C108" s="22" t="n">
        <v>46355</v>
      </c>
      <c r="D108" s="20" t="n">
        <f aca="false">NETWORKDAYS(MAX(B108,DATE(2026,10,1)),MIN(C108,DATE(2026,12,31)))</f>
        <v>5</v>
      </c>
      <c r="E108" s="23" t="n">
        <f aca="false">SUMPRODUCT(('Daily Expected'!$A$4:$A$12=$A108)*('Daily Expected'!$C$3:$CP$3&gt;=$B108)*('Daily Expected'!$C$3:$CP$3&lt;=$C108)*'Daily Expected'!$C$4:$CP$12)</f>
        <v>0</v>
      </c>
      <c r="F108" s="23" t="n">
        <f aca="false">IF($A108="Unassigned",0,D108*'Assignment Calc'!$B$1)</f>
        <v>45</v>
      </c>
      <c r="G108" s="27" t="n">
        <f aca="false">IF(F108=0,0,E108/F108)</f>
        <v>0</v>
      </c>
      <c r="H108" s="20" t="str">
        <f aca="false">IF($A108="Unassigned",IF(E108&gt;0,"Unassigned hours","-"),IF(E108=0,"Unallocated",IF(E108&gt;F108+0.0001,"Over-allocated",IF(ABS(E108-F108)&lt;0.0001,"Optimally allocated","Under-allocated"))))</f>
        <v>Unallocated</v>
      </c>
      <c r="I108" s="23" t="n">
        <f aca="false">SUMPRODUCT(('Daily Closed-Cancelled'!$A$4:$A$12=$A108)*('Daily Closed-Cancelled'!$C$3:$CP$3&gt;=$B108)*('Daily Closed-Cancelled'!$C$3:$CP$3&lt;=$C108)*'Daily Closed-Cancelled'!$C$4:$CP$12)</f>
        <v>0</v>
      </c>
    </row>
    <row r="109" customFormat="false" ht="15" hidden="false" customHeight="true" outlineLevel="0" collapsed="false">
      <c r="A109" s="20" t="s">
        <v>397</v>
      </c>
      <c r="B109" s="22" t="n">
        <v>46356</v>
      </c>
      <c r="C109" s="22" t="n">
        <v>46362</v>
      </c>
      <c r="D109" s="20" t="n">
        <f aca="false">NETWORKDAYS(MAX(B109,DATE(2026,10,1)),MIN(C109,DATE(2026,12,31)))</f>
        <v>5</v>
      </c>
      <c r="E109" s="23" t="n">
        <f aca="false">SUMPRODUCT(('Daily Expected'!$A$4:$A$12=$A109)*('Daily Expected'!$C$3:$CP$3&gt;=$B109)*('Daily Expected'!$C$3:$CP$3&lt;=$C109)*'Daily Expected'!$C$4:$CP$12)</f>
        <v>45</v>
      </c>
      <c r="F109" s="23" t="n">
        <f aca="false">IF($A109="Unassigned",0,D109*'Assignment Calc'!$B$1)</f>
        <v>45</v>
      </c>
      <c r="G109" s="27" t="n">
        <f aca="false">IF(F109=0,0,E109/F109)</f>
        <v>1</v>
      </c>
      <c r="H109" s="20" t="str">
        <f aca="false">IF($A109="Unassigned",IF(E109&gt;0,"Unassigned hours","-"),IF(E109=0,"Unallocated",IF(E109&gt;F109+0.0001,"Over-allocated",IF(ABS(E109-F109)&lt;0.0001,"Optimally allocated","Under-allocated"))))</f>
        <v>Optimally allocated</v>
      </c>
      <c r="I109" s="23" t="n">
        <f aca="false">SUMPRODUCT(('Daily Closed-Cancelled'!$A$4:$A$12=$A109)*('Daily Closed-Cancelled'!$C$3:$CP$3&gt;=$B109)*('Daily Closed-Cancelled'!$C$3:$CP$3&lt;=$C109)*'Daily Closed-Cancelled'!$C$4:$CP$12)</f>
        <v>45</v>
      </c>
    </row>
    <row r="110" customFormat="false" ht="15" hidden="false" customHeight="true" outlineLevel="0" collapsed="false">
      <c r="A110" s="20" t="s">
        <v>397</v>
      </c>
      <c r="B110" s="22" t="n">
        <v>46363</v>
      </c>
      <c r="C110" s="22" t="n">
        <v>46369</v>
      </c>
      <c r="D110" s="20" t="n">
        <f aca="false">NETWORKDAYS(MAX(B110,DATE(2026,10,1)),MIN(C110,DATE(2026,12,31)))</f>
        <v>5</v>
      </c>
      <c r="E110" s="23" t="n">
        <f aca="false">SUMPRODUCT(('Daily Expected'!$A$4:$A$12=$A110)*('Daily Expected'!$C$3:$CP$3&gt;=$B110)*('Daily Expected'!$C$3:$CP$3&lt;=$C110)*'Daily Expected'!$C$4:$CP$12)</f>
        <v>45</v>
      </c>
      <c r="F110" s="23" t="n">
        <f aca="false">IF($A110="Unassigned",0,D110*'Assignment Calc'!$B$1)</f>
        <v>45</v>
      </c>
      <c r="G110" s="27" t="n">
        <f aca="false">IF(F110=0,0,E110/F110)</f>
        <v>1</v>
      </c>
      <c r="H110" s="20" t="str">
        <f aca="false">IF($A110="Unassigned",IF(E110&gt;0,"Unassigned hours","-"),IF(E110=0,"Unallocated",IF(E110&gt;F110+0.0001,"Over-allocated",IF(ABS(E110-F110)&lt;0.0001,"Optimally allocated","Under-allocated"))))</f>
        <v>Optimally allocated</v>
      </c>
      <c r="I110" s="23" t="n">
        <f aca="false">SUMPRODUCT(('Daily Closed-Cancelled'!$A$4:$A$12=$A110)*('Daily Closed-Cancelled'!$C$3:$CP$3&gt;=$B110)*('Daily Closed-Cancelled'!$C$3:$CP$3&lt;=$C110)*'Daily Closed-Cancelled'!$C$4:$CP$12)</f>
        <v>0</v>
      </c>
    </row>
    <row r="111" customFormat="false" ht="15" hidden="false" customHeight="true" outlineLevel="0" collapsed="false">
      <c r="A111" s="20" t="s">
        <v>397</v>
      </c>
      <c r="B111" s="22" t="n">
        <v>46370</v>
      </c>
      <c r="C111" s="22" t="n">
        <v>46376</v>
      </c>
      <c r="D111" s="20" t="n">
        <f aca="false">NETWORKDAYS(MAX(B111,DATE(2026,10,1)),MIN(C111,DATE(2026,12,31)))</f>
        <v>5</v>
      </c>
      <c r="E111" s="23" t="n">
        <f aca="false">SUMPRODUCT(('Daily Expected'!$A$4:$A$12=$A111)*('Daily Expected'!$C$3:$CP$3&gt;=$B111)*('Daily Expected'!$C$3:$CP$3&lt;=$C111)*'Daily Expected'!$C$4:$CP$12)</f>
        <v>11.25</v>
      </c>
      <c r="F111" s="23" t="n">
        <f aca="false">IF($A111="Unassigned",0,D111*'Assignment Calc'!$B$1)</f>
        <v>45</v>
      </c>
      <c r="G111" s="27" t="n">
        <f aca="false">IF(F111=0,0,E111/F111)</f>
        <v>0.25</v>
      </c>
      <c r="H111" s="20" t="str">
        <f aca="false">IF($A111="Unassigned",IF(E111&gt;0,"Unassigned hours","-"),IF(E111=0,"Unallocated",IF(E111&gt;F111+0.0001,"Over-allocated",IF(ABS(E111-F111)&lt;0.0001,"Optimally allocated","Under-allocated"))))</f>
        <v>Under-allocated</v>
      </c>
      <c r="I111" s="23" t="n">
        <f aca="false">SUMPRODUCT(('Daily Closed-Cancelled'!$A$4:$A$12=$A111)*('Daily Closed-Cancelled'!$C$3:$CP$3&gt;=$B111)*('Daily Closed-Cancelled'!$C$3:$CP$3&lt;=$C111)*'Daily Closed-Cancelled'!$C$4:$CP$12)</f>
        <v>11.25</v>
      </c>
    </row>
    <row r="112" customFormat="false" ht="15" hidden="false" customHeight="true" outlineLevel="0" collapsed="false">
      <c r="A112" s="20" t="s">
        <v>397</v>
      </c>
      <c r="B112" s="22" t="n">
        <v>46377</v>
      </c>
      <c r="C112" s="22" t="n">
        <v>46383</v>
      </c>
      <c r="D112" s="20" t="n">
        <f aca="false">NETWORKDAYS(MAX(B112,DATE(2026,10,1)),MIN(C112,DATE(2026,12,31)))</f>
        <v>5</v>
      </c>
      <c r="E112" s="23" t="n">
        <f aca="false">SUMPRODUCT(('Daily Expected'!$A$4:$A$12=$A112)*('Daily Expected'!$C$3:$CP$3&gt;=$B112)*('Daily Expected'!$C$3:$CP$3&lt;=$C112)*'Daily Expected'!$C$4:$CP$12)</f>
        <v>0</v>
      </c>
      <c r="F112" s="23" t="n">
        <f aca="false">IF($A112="Unassigned",0,D112*'Assignment Calc'!$B$1)</f>
        <v>45</v>
      </c>
      <c r="G112" s="27" t="n">
        <f aca="false">IF(F112=0,0,E112/F112)</f>
        <v>0</v>
      </c>
      <c r="H112" s="20" t="str">
        <f aca="false">IF($A112="Unassigned",IF(E112&gt;0,"Unassigned hours","-"),IF(E112=0,"Unallocated",IF(E112&gt;F112+0.0001,"Over-allocated",IF(ABS(E112-F112)&lt;0.0001,"Optimally allocated","Under-allocated"))))</f>
        <v>Unallocated</v>
      </c>
      <c r="I112" s="23" t="n">
        <f aca="false">SUMPRODUCT(('Daily Closed-Cancelled'!$A$4:$A$12=$A112)*('Daily Closed-Cancelled'!$C$3:$CP$3&gt;=$B112)*('Daily Closed-Cancelled'!$C$3:$CP$3&lt;=$C112)*'Daily Closed-Cancelled'!$C$4:$CP$12)</f>
        <v>0</v>
      </c>
    </row>
    <row r="113" customFormat="false" ht="15" hidden="false" customHeight="true" outlineLevel="0" collapsed="false">
      <c r="A113" s="20" t="s">
        <v>397</v>
      </c>
      <c r="B113" s="22" t="n">
        <v>46384</v>
      </c>
      <c r="C113" s="22" t="n">
        <v>46390</v>
      </c>
      <c r="D113" s="20" t="n">
        <f aca="false">NETWORKDAYS(MAX(B113,DATE(2026,10,1)),MIN(C113,DATE(2026,12,31)))</f>
        <v>4</v>
      </c>
      <c r="E113" s="23" t="n">
        <f aca="false">SUMPRODUCT(('Daily Expected'!$A$4:$A$12=$A113)*('Daily Expected'!$C$3:$CP$3&gt;=$B113)*('Daily Expected'!$C$3:$CP$3&lt;=$C113)*'Daily Expected'!$C$4:$CP$12)</f>
        <v>54</v>
      </c>
      <c r="F113" s="23" t="n">
        <f aca="false">IF($A113="Unassigned",0,D113*'Assignment Calc'!$B$1)</f>
        <v>36</v>
      </c>
      <c r="G113" s="27" t="n">
        <f aca="false">IF(F113=0,0,E113/F113)</f>
        <v>1.5</v>
      </c>
      <c r="H113" s="20" t="str">
        <f aca="false">IF($A113="Unassigned",IF(E113&gt;0,"Unassigned hours","-"),IF(E113=0,"Unallocated",IF(E113&gt;F113+0.0001,"Over-allocated",IF(ABS(E113-F113)&lt;0.0001,"Optimally allocated","Under-allocated"))))</f>
        <v>Over-allocated</v>
      </c>
      <c r="I113" s="23" t="n">
        <f aca="false">SUMPRODUCT(('Daily Closed-Cancelled'!$A$4:$A$12=$A113)*('Daily Closed-Cancelled'!$C$3:$CP$3&gt;=$B113)*('Daily Closed-Cancelled'!$C$3:$CP$3&lt;=$C113)*'Daily Closed-Cancelled'!$C$4:$CP$12)</f>
        <v>54</v>
      </c>
    </row>
    <row r="114" customFormat="false" ht="15" hidden="false" customHeight="true" outlineLevel="0" collapsed="false">
      <c r="A114" s="20" t="s">
        <v>502</v>
      </c>
      <c r="B114" s="22" t="n">
        <v>46293</v>
      </c>
      <c r="C114" s="22" t="n">
        <v>46299</v>
      </c>
      <c r="D114" s="20" t="n">
        <f aca="false">NETWORKDAYS(MAX(B114,DATE(2026,10,1)),MIN(C114,DATE(2026,12,31)))</f>
        <v>2</v>
      </c>
      <c r="E114" s="23" t="n">
        <f aca="false">SUMPRODUCT(('Daily Expected'!$A$4:$A$12=$A114)*('Daily Expected'!$C$3:$CP$3&gt;=$B114)*('Daily Expected'!$C$3:$CP$3&lt;=$C114)*'Daily Expected'!$C$4:$CP$12)</f>
        <v>0</v>
      </c>
      <c r="F114" s="23" t="n">
        <f aca="false">IF($A114="Unassigned",0,D114*'Assignment Calc'!$B$1)</f>
        <v>0</v>
      </c>
      <c r="G114" s="27" t="n">
        <f aca="false">IF(F114=0,0,E114/F114)</f>
        <v>0</v>
      </c>
      <c r="H114" s="20" t="str">
        <f aca="false">IF($A114="Unassigned",IF(E114&gt;0,"Unassigned hours","-"),IF(E114=0,"Unallocated",IF(E114&gt;F114+0.0001,"Over-allocated",IF(ABS(E114-F114)&lt;0.0001,"Optimally allocated","Under-allocated"))))</f>
        <v>-</v>
      </c>
      <c r="I114" s="23" t="n">
        <f aca="false">SUMPRODUCT(('Daily Closed-Cancelled'!$A$4:$A$12=$A114)*('Daily Closed-Cancelled'!$C$3:$CP$3&gt;=$B114)*('Daily Closed-Cancelled'!$C$3:$CP$3&lt;=$C114)*'Daily Closed-Cancelled'!$C$4:$CP$12)</f>
        <v>0</v>
      </c>
    </row>
    <row r="115" customFormat="false" ht="15" hidden="false" customHeight="true" outlineLevel="0" collapsed="false">
      <c r="A115" s="20" t="s">
        <v>502</v>
      </c>
      <c r="B115" s="22" t="n">
        <v>46300</v>
      </c>
      <c r="C115" s="22" t="n">
        <v>46306</v>
      </c>
      <c r="D115" s="20" t="n">
        <f aca="false">NETWORKDAYS(MAX(B115,DATE(2026,10,1)),MIN(C115,DATE(2026,12,31)))</f>
        <v>5</v>
      </c>
      <c r="E115" s="23" t="n">
        <f aca="false">SUMPRODUCT(('Daily Expected'!$A$4:$A$12=$A115)*('Daily Expected'!$C$3:$CP$3&gt;=$B115)*('Daily Expected'!$C$3:$CP$3&lt;=$C115)*'Daily Expected'!$C$4:$CP$12)</f>
        <v>20</v>
      </c>
      <c r="F115" s="23" t="n">
        <f aca="false">IF($A115="Unassigned",0,D115*'Assignment Calc'!$B$1)</f>
        <v>0</v>
      </c>
      <c r="G115" s="27" t="n">
        <f aca="false">IF(F115=0,0,E115/F115)</f>
        <v>0</v>
      </c>
      <c r="H115" s="20" t="str">
        <f aca="false">IF($A115="Unassigned",IF(E115&gt;0,"Unassigned hours","-"),IF(E115=0,"Unallocated",IF(E115&gt;F115+0.0001,"Over-allocated",IF(ABS(E115-F115)&lt;0.0001,"Optimally allocated","Under-allocated"))))</f>
        <v>Unassigned hours</v>
      </c>
      <c r="I115" s="23" t="n">
        <f aca="false">SUMPRODUCT(('Daily Closed-Cancelled'!$A$4:$A$12=$A115)*('Daily Closed-Cancelled'!$C$3:$CP$3&gt;=$B115)*('Daily Closed-Cancelled'!$C$3:$CP$3&lt;=$C115)*'Daily Closed-Cancelled'!$C$4:$CP$12)</f>
        <v>0</v>
      </c>
    </row>
    <row r="116" customFormat="false" ht="15" hidden="false" customHeight="true" outlineLevel="0" collapsed="false">
      <c r="A116" s="20" t="s">
        <v>502</v>
      </c>
      <c r="B116" s="22" t="n">
        <v>46307</v>
      </c>
      <c r="C116" s="22" t="n">
        <v>46313</v>
      </c>
      <c r="D116" s="20" t="n">
        <f aca="false">NETWORKDAYS(MAX(B116,DATE(2026,10,1)),MIN(C116,DATE(2026,12,31)))</f>
        <v>5</v>
      </c>
      <c r="E116" s="23" t="n">
        <f aca="false">SUMPRODUCT(('Daily Expected'!$A$4:$A$12=$A116)*('Daily Expected'!$C$3:$CP$3&gt;=$B116)*('Daily Expected'!$C$3:$CP$3&lt;=$C116)*'Daily Expected'!$C$4:$CP$12)</f>
        <v>0</v>
      </c>
      <c r="F116" s="23" t="n">
        <f aca="false">IF($A116="Unassigned",0,D116*'Assignment Calc'!$B$1)</f>
        <v>0</v>
      </c>
      <c r="G116" s="27" t="n">
        <f aca="false">IF(F116=0,0,E116/F116)</f>
        <v>0</v>
      </c>
      <c r="H116" s="20" t="str">
        <f aca="false">IF($A116="Unassigned",IF(E116&gt;0,"Unassigned hours","-"),IF(E116=0,"Unallocated",IF(E116&gt;F116+0.0001,"Over-allocated",IF(ABS(E116-F116)&lt;0.0001,"Optimally allocated","Under-allocated"))))</f>
        <v>-</v>
      </c>
      <c r="I116" s="23" t="n">
        <f aca="false">SUMPRODUCT(('Daily Closed-Cancelled'!$A$4:$A$12=$A116)*('Daily Closed-Cancelled'!$C$3:$CP$3&gt;=$B116)*('Daily Closed-Cancelled'!$C$3:$CP$3&lt;=$C116)*'Daily Closed-Cancelled'!$C$4:$CP$12)</f>
        <v>0</v>
      </c>
    </row>
    <row r="117" customFormat="false" ht="15" hidden="false" customHeight="true" outlineLevel="0" collapsed="false">
      <c r="A117" s="20" t="s">
        <v>502</v>
      </c>
      <c r="B117" s="22" t="n">
        <v>46314</v>
      </c>
      <c r="C117" s="22" t="n">
        <v>46320</v>
      </c>
      <c r="D117" s="20" t="n">
        <f aca="false">NETWORKDAYS(MAX(B117,DATE(2026,10,1)),MIN(C117,DATE(2026,12,31)))</f>
        <v>5</v>
      </c>
      <c r="E117" s="23" t="n">
        <f aca="false">SUMPRODUCT(('Daily Expected'!$A$4:$A$12=$A117)*('Daily Expected'!$C$3:$CP$3&gt;=$B117)*('Daily Expected'!$C$3:$CP$3&lt;=$C117)*'Daily Expected'!$C$4:$CP$12)</f>
        <v>0</v>
      </c>
      <c r="F117" s="23" t="n">
        <f aca="false">IF($A117="Unassigned",0,D117*'Assignment Calc'!$B$1)</f>
        <v>0</v>
      </c>
      <c r="G117" s="27" t="n">
        <f aca="false">IF(F117=0,0,E117/F117)</f>
        <v>0</v>
      </c>
      <c r="H117" s="20" t="str">
        <f aca="false">IF($A117="Unassigned",IF(E117&gt;0,"Unassigned hours","-"),IF(E117=0,"Unallocated",IF(E117&gt;F117+0.0001,"Over-allocated",IF(ABS(E117-F117)&lt;0.0001,"Optimally allocated","Under-allocated"))))</f>
        <v>-</v>
      </c>
      <c r="I117" s="23" t="n">
        <f aca="false">SUMPRODUCT(('Daily Closed-Cancelled'!$A$4:$A$12=$A117)*('Daily Closed-Cancelled'!$C$3:$CP$3&gt;=$B117)*('Daily Closed-Cancelled'!$C$3:$CP$3&lt;=$C117)*'Daily Closed-Cancelled'!$C$4:$CP$12)</f>
        <v>0</v>
      </c>
    </row>
    <row r="118" customFormat="false" ht="15" hidden="false" customHeight="true" outlineLevel="0" collapsed="false">
      <c r="A118" s="20" t="s">
        <v>502</v>
      </c>
      <c r="B118" s="22" t="n">
        <v>46321</v>
      </c>
      <c r="C118" s="22" t="n">
        <v>46327</v>
      </c>
      <c r="D118" s="20" t="n">
        <f aca="false">NETWORKDAYS(MAX(B118,DATE(2026,10,1)),MIN(C118,DATE(2026,12,31)))</f>
        <v>5</v>
      </c>
      <c r="E118" s="23" t="n">
        <f aca="false">SUMPRODUCT(('Daily Expected'!$A$4:$A$12=$A118)*('Daily Expected'!$C$3:$CP$3&gt;=$B118)*('Daily Expected'!$C$3:$CP$3&lt;=$C118)*'Daily Expected'!$C$4:$CP$12)</f>
        <v>0</v>
      </c>
      <c r="F118" s="23" t="n">
        <f aca="false">IF($A118="Unassigned",0,D118*'Assignment Calc'!$B$1)</f>
        <v>0</v>
      </c>
      <c r="G118" s="27" t="n">
        <f aca="false">IF(F118=0,0,E118/F118)</f>
        <v>0</v>
      </c>
      <c r="H118" s="20" t="str">
        <f aca="false">IF($A118="Unassigned",IF(E118&gt;0,"Unassigned hours","-"),IF(E118=0,"Unallocated",IF(E118&gt;F118+0.0001,"Over-allocated",IF(ABS(E118-F118)&lt;0.0001,"Optimally allocated","Under-allocated"))))</f>
        <v>-</v>
      </c>
      <c r="I118" s="23" t="n">
        <f aca="false">SUMPRODUCT(('Daily Closed-Cancelled'!$A$4:$A$12=$A118)*('Daily Closed-Cancelled'!$C$3:$CP$3&gt;=$B118)*('Daily Closed-Cancelled'!$C$3:$CP$3&lt;=$C118)*'Daily Closed-Cancelled'!$C$4:$CP$12)</f>
        <v>0</v>
      </c>
    </row>
    <row r="119" customFormat="false" ht="15" hidden="false" customHeight="true" outlineLevel="0" collapsed="false">
      <c r="A119" s="20" t="s">
        <v>502</v>
      </c>
      <c r="B119" s="22" t="n">
        <v>46328</v>
      </c>
      <c r="C119" s="22" t="n">
        <v>46334</v>
      </c>
      <c r="D119" s="20" t="n">
        <f aca="false">NETWORKDAYS(MAX(B119,DATE(2026,10,1)),MIN(C119,DATE(2026,12,31)))</f>
        <v>5</v>
      </c>
      <c r="E119" s="23" t="n">
        <f aca="false">SUMPRODUCT(('Daily Expected'!$A$4:$A$12=$A119)*('Daily Expected'!$C$3:$CP$3&gt;=$B119)*('Daily Expected'!$C$3:$CP$3&lt;=$C119)*'Daily Expected'!$C$4:$CP$12)</f>
        <v>0</v>
      </c>
      <c r="F119" s="23" t="n">
        <f aca="false">IF($A119="Unassigned",0,D119*'Assignment Calc'!$B$1)</f>
        <v>0</v>
      </c>
      <c r="G119" s="27" t="n">
        <f aca="false">IF(F119=0,0,E119/F119)</f>
        <v>0</v>
      </c>
      <c r="H119" s="20" t="str">
        <f aca="false">IF($A119="Unassigned",IF(E119&gt;0,"Unassigned hours","-"),IF(E119=0,"Unallocated",IF(E119&gt;F119+0.0001,"Over-allocated",IF(ABS(E119-F119)&lt;0.0001,"Optimally allocated","Under-allocated"))))</f>
        <v>-</v>
      </c>
      <c r="I119" s="23" t="n">
        <f aca="false">SUMPRODUCT(('Daily Closed-Cancelled'!$A$4:$A$12=$A119)*('Daily Closed-Cancelled'!$C$3:$CP$3&gt;=$B119)*('Daily Closed-Cancelled'!$C$3:$CP$3&lt;=$C119)*'Daily Closed-Cancelled'!$C$4:$CP$12)</f>
        <v>0</v>
      </c>
    </row>
    <row r="120" customFormat="false" ht="15" hidden="false" customHeight="true" outlineLevel="0" collapsed="false">
      <c r="A120" s="20" t="s">
        <v>502</v>
      </c>
      <c r="B120" s="22" t="n">
        <v>46335</v>
      </c>
      <c r="C120" s="22" t="n">
        <v>46341</v>
      </c>
      <c r="D120" s="20" t="n">
        <f aca="false">NETWORKDAYS(MAX(B120,DATE(2026,10,1)),MIN(C120,DATE(2026,12,31)))</f>
        <v>5</v>
      </c>
      <c r="E120" s="23" t="n">
        <f aca="false">SUMPRODUCT(('Daily Expected'!$A$4:$A$12=$A120)*('Daily Expected'!$C$3:$CP$3&gt;=$B120)*('Daily Expected'!$C$3:$CP$3&lt;=$C120)*'Daily Expected'!$C$4:$CP$12)</f>
        <v>0</v>
      </c>
      <c r="F120" s="23" t="n">
        <f aca="false">IF($A120="Unassigned",0,D120*'Assignment Calc'!$B$1)</f>
        <v>0</v>
      </c>
      <c r="G120" s="27" t="n">
        <f aca="false">IF(F120=0,0,E120/F120)</f>
        <v>0</v>
      </c>
      <c r="H120" s="20" t="str">
        <f aca="false">IF($A120="Unassigned",IF(E120&gt;0,"Unassigned hours","-"),IF(E120=0,"Unallocated",IF(E120&gt;F120+0.0001,"Over-allocated",IF(ABS(E120-F120)&lt;0.0001,"Optimally allocated","Under-allocated"))))</f>
        <v>-</v>
      </c>
      <c r="I120" s="23" t="n">
        <f aca="false">SUMPRODUCT(('Daily Closed-Cancelled'!$A$4:$A$12=$A120)*('Daily Closed-Cancelled'!$C$3:$CP$3&gt;=$B120)*('Daily Closed-Cancelled'!$C$3:$CP$3&lt;=$C120)*'Daily Closed-Cancelled'!$C$4:$CP$12)</f>
        <v>0</v>
      </c>
    </row>
    <row r="121" customFormat="false" ht="15" hidden="false" customHeight="true" outlineLevel="0" collapsed="false">
      <c r="A121" s="20" t="s">
        <v>502</v>
      </c>
      <c r="B121" s="22" t="n">
        <v>46342</v>
      </c>
      <c r="C121" s="22" t="n">
        <v>46348</v>
      </c>
      <c r="D121" s="20" t="n">
        <f aca="false">NETWORKDAYS(MAX(B121,DATE(2026,10,1)),MIN(C121,DATE(2026,12,31)))</f>
        <v>5</v>
      </c>
      <c r="E121" s="23" t="n">
        <f aca="false">SUMPRODUCT(('Daily Expected'!$A$4:$A$12=$A121)*('Daily Expected'!$C$3:$CP$3&gt;=$B121)*('Daily Expected'!$C$3:$CP$3&lt;=$C121)*'Daily Expected'!$C$4:$CP$12)</f>
        <v>0</v>
      </c>
      <c r="F121" s="23" t="n">
        <f aca="false">IF($A121="Unassigned",0,D121*'Assignment Calc'!$B$1)</f>
        <v>0</v>
      </c>
      <c r="G121" s="27" t="n">
        <f aca="false">IF(F121=0,0,E121/F121)</f>
        <v>0</v>
      </c>
      <c r="H121" s="20" t="str">
        <f aca="false">IF($A121="Unassigned",IF(E121&gt;0,"Unassigned hours","-"),IF(E121=0,"Unallocated",IF(E121&gt;F121+0.0001,"Over-allocated",IF(ABS(E121-F121)&lt;0.0001,"Optimally allocated","Under-allocated"))))</f>
        <v>-</v>
      </c>
      <c r="I121" s="23" t="n">
        <f aca="false">SUMPRODUCT(('Daily Closed-Cancelled'!$A$4:$A$12=$A121)*('Daily Closed-Cancelled'!$C$3:$CP$3&gt;=$B121)*('Daily Closed-Cancelled'!$C$3:$CP$3&lt;=$C121)*'Daily Closed-Cancelled'!$C$4:$CP$12)</f>
        <v>0</v>
      </c>
    </row>
    <row r="122" customFormat="false" ht="15" hidden="false" customHeight="true" outlineLevel="0" collapsed="false">
      <c r="A122" s="20" t="s">
        <v>502</v>
      </c>
      <c r="B122" s="22" t="n">
        <v>46349</v>
      </c>
      <c r="C122" s="22" t="n">
        <v>46355</v>
      </c>
      <c r="D122" s="20" t="n">
        <f aca="false">NETWORKDAYS(MAX(B122,DATE(2026,10,1)),MIN(C122,DATE(2026,12,31)))</f>
        <v>5</v>
      </c>
      <c r="E122" s="23" t="n">
        <f aca="false">SUMPRODUCT(('Daily Expected'!$A$4:$A$12=$A122)*('Daily Expected'!$C$3:$CP$3&gt;=$B122)*('Daily Expected'!$C$3:$CP$3&lt;=$C122)*'Daily Expected'!$C$4:$CP$12)</f>
        <v>0</v>
      </c>
      <c r="F122" s="23" t="n">
        <f aca="false">IF($A122="Unassigned",0,D122*'Assignment Calc'!$B$1)</f>
        <v>0</v>
      </c>
      <c r="G122" s="27" t="n">
        <f aca="false">IF(F122=0,0,E122/F122)</f>
        <v>0</v>
      </c>
      <c r="H122" s="20" t="str">
        <f aca="false">IF($A122="Unassigned",IF(E122&gt;0,"Unassigned hours","-"),IF(E122=0,"Unallocated",IF(E122&gt;F122+0.0001,"Over-allocated",IF(ABS(E122-F122)&lt;0.0001,"Optimally allocated","Under-allocated"))))</f>
        <v>-</v>
      </c>
      <c r="I122" s="23" t="n">
        <f aca="false">SUMPRODUCT(('Daily Closed-Cancelled'!$A$4:$A$12=$A122)*('Daily Closed-Cancelled'!$C$3:$CP$3&gt;=$B122)*('Daily Closed-Cancelled'!$C$3:$CP$3&lt;=$C122)*'Daily Closed-Cancelled'!$C$4:$CP$12)</f>
        <v>0</v>
      </c>
    </row>
    <row r="123" customFormat="false" ht="15" hidden="false" customHeight="true" outlineLevel="0" collapsed="false">
      <c r="A123" s="20" t="s">
        <v>502</v>
      </c>
      <c r="B123" s="22" t="n">
        <v>46356</v>
      </c>
      <c r="C123" s="22" t="n">
        <v>46362</v>
      </c>
      <c r="D123" s="20" t="n">
        <f aca="false">NETWORKDAYS(MAX(B123,DATE(2026,10,1)),MIN(C123,DATE(2026,12,31)))</f>
        <v>5</v>
      </c>
      <c r="E123" s="23" t="n">
        <f aca="false">SUMPRODUCT(('Daily Expected'!$A$4:$A$12=$A123)*('Daily Expected'!$C$3:$CP$3&gt;=$B123)*('Daily Expected'!$C$3:$CP$3&lt;=$C123)*'Daily Expected'!$C$4:$CP$12)</f>
        <v>0</v>
      </c>
      <c r="F123" s="23" t="n">
        <f aca="false">IF($A123="Unassigned",0,D123*'Assignment Calc'!$B$1)</f>
        <v>0</v>
      </c>
      <c r="G123" s="27" t="n">
        <f aca="false">IF(F123=0,0,E123/F123)</f>
        <v>0</v>
      </c>
      <c r="H123" s="20" t="str">
        <f aca="false">IF($A123="Unassigned",IF(E123&gt;0,"Unassigned hours","-"),IF(E123=0,"Unallocated",IF(E123&gt;F123+0.0001,"Over-allocated",IF(ABS(E123-F123)&lt;0.0001,"Optimally allocated","Under-allocated"))))</f>
        <v>-</v>
      </c>
      <c r="I123" s="23" t="n">
        <f aca="false">SUMPRODUCT(('Daily Closed-Cancelled'!$A$4:$A$12=$A123)*('Daily Closed-Cancelled'!$C$3:$CP$3&gt;=$B123)*('Daily Closed-Cancelled'!$C$3:$CP$3&lt;=$C123)*'Daily Closed-Cancelled'!$C$4:$CP$12)</f>
        <v>0</v>
      </c>
    </row>
    <row r="124" customFormat="false" ht="15" hidden="false" customHeight="true" outlineLevel="0" collapsed="false">
      <c r="A124" s="20" t="s">
        <v>502</v>
      </c>
      <c r="B124" s="22" t="n">
        <v>46363</v>
      </c>
      <c r="C124" s="22" t="n">
        <v>46369</v>
      </c>
      <c r="D124" s="20" t="n">
        <f aca="false">NETWORKDAYS(MAX(B124,DATE(2026,10,1)),MIN(C124,DATE(2026,12,31)))</f>
        <v>5</v>
      </c>
      <c r="E124" s="23" t="n">
        <f aca="false">SUMPRODUCT(('Daily Expected'!$A$4:$A$12=$A124)*('Daily Expected'!$C$3:$CP$3&gt;=$B124)*('Daily Expected'!$C$3:$CP$3&lt;=$C124)*'Daily Expected'!$C$4:$CP$12)</f>
        <v>0</v>
      </c>
      <c r="F124" s="23" t="n">
        <f aca="false">IF($A124="Unassigned",0,D124*'Assignment Calc'!$B$1)</f>
        <v>0</v>
      </c>
      <c r="G124" s="27" t="n">
        <f aca="false">IF(F124=0,0,E124/F124)</f>
        <v>0</v>
      </c>
      <c r="H124" s="20" t="str">
        <f aca="false">IF($A124="Unassigned",IF(E124&gt;0,"Unassigned hours","-"),IF(E124=0,"Unallocated",IF(E124&gt;F124+0.0001,"Over-allocated",IF(ABS(E124-F124)&lt;0.0001,"Optimally allocated","Under-allocated"))))</f>
        <v>-</v>
      </c>
      <c r="I124" s="23" t="n">
        <f aca="false">SUMPRODUCT(('Daily Closed-Cancelled'!$A$4:$A$12=$A124)*('Daily Closed-Cancelled'!$C$3:$CP$3&gt;=$B124)*('Daily Closed-Cancelled'!$C$3:$CP$3&lt;=$C124)*'Daily Closed-Cancelled'!$C$4:$CP$12)</f>
        <v>0</v>
      </c>
    </row>
    <row r="125" customFormat="false" ht="15" hidden="false" customHeight="true" outlineLevel="0" collapsed="false">
      <c r="A125" s="20" t="s">
        <v>502</v>
      </c>
      <c r="B125" s="22" t="n">
        <v>46370</v>
      </c>
      <c r="C125" s="22" t="n">
        <v>46376</v>
      </c>
      <c r="D125" s="20" t="n">
        <f aca="false">NETWORKDAYS(MAX(B125,DATE(2026,10,1)),MIN(C125,DATE(2026,12,31)))</f>
        <v>5</v>
      </c>
      <c r="E125" s="23" t="n">
        <f aca="false">SUMPRODUCT(('Daily Expected'!$A$4:$A$12=$A125)*('Daily Expected'!$C$3:$CP$3&gt;=$B125)*('Daily Expected'!$C$3:$CP$3&lt;=$C125)*'Daily Expected'!$C$4:$CP$12)</f>
        <v>0</v>
      </c>
      <c r="F125" s="23" t="n">
        <f aca="false">IF($A125="Unassigned",0,D125*'Assignment Calc'!$B$1)</f>
        <v>0</v>
      </c>
      <c r="G125" s="27" t="n">
        <f aca="false">IF(F125=0,0,E125/F125)</f>
        <v>0</v>
      </c>
      <c r="H125" s="20" t="str">
        <f aca="false">IF($A125="Unassigned",IF(E125&gt;0,"Unassigned hours","-"),IF(E125=0,"Unallocated",IF(E125&gt;F125+0.0001,"Over-allocated",IF(ABS(E125-F125)&lt;0.0001,"Optimally allocated","Under-allocated"))))</f>
        <v>-</v>
      </c>
      <c r="I125" s="23" t="n">
        <f aca="false">SUMPRODUCT(('Daily Closed-Cancelled'!$A$4:$A$12=$A125)*('Daily Closed-Cancelled'!$C$3:$CP$3&gt;=$B125)*('Daily Closed-Cancelled'!$C$3:$CP$3&lt;=$C125)*'Daily Closed-Cancelled'!$C$4:$CP$12)</f>
        <v>0</v>
      </c>
    </row>
    <row r="126" customFormat="false" ht="15" hidden="false" customHeight="true" outlineLevel="0" collapsed="false">
      <c r="A126" s="20" t="s">
        <v>502</v>
      </c>
      <c r="B126" s="22" t="n">
        <v>46377</v>
      </c>
      <c r="C126" s="22" t="n">
        <v>46383</v>
      </c>
      <c r="D126" s="20" t="n">
        <f aca="false">NETWORKDAYS(MAX(B126,DATE(2026,10,1)),MIN(C126,DATE(2026,12,31)))</f>
        <v>5</v>
      </c>
      <c r="E126" s="23" t="n">
        <f aca="false">SUMPRODUCT(('Daily Expected'!$A$4:$A$12=$A126)*('Daily Expected'!$C$3:$CP$3&gt;=$B126)*('Daily Expected'!$C$3:$CP$3&lt;=$C126)*'Daily Expected'!$C$4:$CP$12)</f>
        <v>0</v>
      </c>
      <c r="F126" s="23" t="n">
        <f aca="false">IF($A126="Unassigned",0,D126*'Assignment Calc'!$B$1)</f>
        <v>0</v>
      </c>
      <c r="G126" s="27" t="n">
        <f aca="false">IF(F126=0,0,E126/F126)</f>
        <v>0</v>
      </c>
      <c r="H126" s="20" t="str">
        <f aca="false">IF($A126="Unassigned",IF(E126&gt;0,"Unassigned hours","-"),IF(E126=0,"Unallocated",IF(E126&gt;F126+0.0001,"Over-allocated",IF(ABS(E126-F126)&lt;0.0001,"Optimally allocated","Under-allocated"))))</f>
        <v>-</v>
      </c>
      <c r="I126" s="23" t="n">
        <f aca="false">SUMPRODUCT(('Daily Closed-Cancelled'!$A$4:$A$12=$A126)*('Daily Closed-Cancelled'!$C$3:$CP$3&gt;=$B126)*('Daily Closed-Cancelled'!$C$3:$CP$3&lt;=$C126)*'Daily Closed-Cancelled'!$C$4:$CP$12)</f>
        <v>0</v>
      </c>
    </row>
    <row r="127" customFormat="false" ht="15" hidden="false" customHeight="true" outlineLevel="0" collapsed="false">
      <c r="A127" s="20" t="s">
        <v>502</v>
      </c>
      <c r="B127" s="22" t="n">
        <v>46384</v>
      </c>
      <c r="C127" s="22" t="n">
        <v>46390</v>
      </c>
      <c r="D127" s="20" t="n">
        <f aca="false">NETWORKDAYS(MAX(B127,DATE(2026,10,1)),MIN(C127,DATE(2026,12,31)))</f>
        <v>4</v>
      </c>
      <c r="E127" s="23" t="n">
        <f aca="false">SUMPRODUCT(('Daily Expected'!$A$4:$A$12=$A127)*('Daily Expected'!$C$3:$CP$3&gt;=$B127)*('Daily Expected'!$C$3:$CP$3&lt;=$C127)*'Daily Expected'!$C$4:$CP$12)</f>
        <v>0</v>
      </c>
      <c r="F127" s="23" t="n">
        <f aca="false">IF($A127="Unassigned",0,D127*'Assignment Calc'!$B$1)</f>
        <v>0</v>
      </c>
      <c r="G127" s="27" t="n">
        <f aca="false">IF(F127=0,0,E127/F127)</f>
        <v>0</v>
      </c>
      <c r="H127" s="20" t="str">
        <f aca="false">IF($A127="Unassigned",IF(E127&gt;0,"Unassigned hours","-"),IF(E127=0,"Unallocated",IF(E127&gt;F127+0.0001,"Over-allocated",IF(ABS(E127-F127)&lt;0.0001,"Optimally allocated","Under-allocated"))))</f>
        <v>-</v>
      </c>
      <c r="I127" s="23" t="n">
        <f aca="false">SUMPRODUCT(('Daily Closed-Cancelled'!$A$4:$A$12=$A127)*('Daily Closed-Cancelled'!$C$3:$CP$3&gt;=$B127)*('Daily Closed-Cancelled'!$C$3:$CP$3&lt;=$C127)*'Daily Closed-Cancelled'!$C$4:$CP$12)</f>
        <v>0</v>
      </c>
    </row>
    <row r="129" customFormat="false" ht="15" hidden="false" customHeight="true" outlineLevel="0" collapsed="false">
      <c r="A129" s="28" t="s">
        <v>700</v>
      </c>
    </row>
  </sheetData>
  <autoFilter ref="A1:I127"/>
  <conditionalFormatting sqref="H2:H127">
    <cfRule type="expression" priority="2" aboveAverage="0" equalAverage="0" bottom="0" percent="0" rank="0" text="" dxfId="4">
      <formula>H2="Over-allocated"</formula>
    </cfRule>
    <cfRule type="expression" priority="3" aboveAverage="0" equalAverage="0" bottom="0" percent="0" rank="0" text="" dxfId="5">
      <formula>H2="Optimally allocated"</formula>
    </cfRule>
    <cfRule type="expression" priority="4" aboveAverage="0" equalAverage="0" bottom="0" percent="0" rank="0" text="" dxfId="6">
      <formula>H2="Under-allocated"</formula>
    </cfRule>
    <cfRule type="expression" priority="5" aboveAverage="0" equalAverage="0" bottom="0" percent="0" rank="0" text="" dxfId="3">
      <formula>H2="Unallocated"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0"/>
    <col collapsed="false" customWidth="true" hidden="false" outlineLevel="0" max="4" min="3" style="1" width="12"/>
    <col collapsed="false" customWidth="true" hidden="false" outlineLevel="0" max="5" min="5" style="1" width="9"/>
    <col collapsed="false" customWidth="true" hidden="false" outlineLevel="0" max="8" min="6" style="1" width="12"/>
    <col collapsed="false" customWidth="true" hidden="false" outlineLevel="0" max="9" min="9" style="1" width="11"/>
    <col collapsed="false" customWidth="true" hidden="false" outlineLevel="0" max="10" min="10" style="1" width="20"/>
    <col collapsed="false" customWidth="true" hidden="false" outlineLevel="0" max="11" min="11" style="1" width="13"/>
    <col collapsed="false" customWidth="true" hidden="false" outlineLevel="0" max="12" min="12" style="1" width="14"/>
    <col collapsed="false" customWidth="true" hidden="false" outlineLevel="0" max="15" min="13" style="1" width="9"/>
    <col collapsed="false" customWidth="true" hidden="false" outlineLevel="0" max="16" min="16" style="1" width="12"/>
  </cols>
  <sheetData>
    <row r="1" customFormat="false" ht="15" hidden="false" customHeight="true" outlineLevel="0" collapsed="false">
      <c r="A1" s="2" t="s">
        <v>494</v>
      </c>
      <c r="B1" s="2" t="s">
        <v>493</v>
      </c>
      <c r="C1" s="2" t="s">
        <v>701</v>
      </c>
      <c r="D1" s="2" t="s">
        <v>702</v>
      </c>
      <c r="E1" s="2" t="s">
        <v>663</v>
      </c>
      <c r="F1" s="2" t="s">
        <v>695</v>
      </c>
      <c r="G1" s="2" t="s">
        <v>703</v>
      </c>
      <c r="H1" s="2" t="s">
        <v>696</v>
      </c>
      <c r="I1" s="2" t="s">
        <v>697</v>
      </c>
      <c r="J1" s="2" t="s">
        <v>704</v>
      </c>
      <c r="K1" s="2" t="s">
        <v>699</v>
      </c>
      <c r="L1" s="2" t="s">
        <v>705</v>
      </c>
      <c r="M1" s="2" t="s">
        <v>706</v>
      </c>
      <c r="N1" s="2" t="s">
        <v>707</v>
      </c>
      <c r="O1" s="2" t="s">
        <v>708</v>
      </c>
      <c r="P1" s="2" t="s">
        <v>709</v>
      </c>
    </row>
    <row r="2" customFormat="false" ht="15" hidden="false" customHeight="true" outlineLevel="0" collapsed="false">
      <c r="A2" s="20" t="s">
        <v>39</v>
      </c>
      <c r="B2" s="20" t="s">
        <v>501</v>
      </c>
      <c r="C2" s="22" t="n">
        <v>46296</v>
      </c>
      <c r="D2" s="22" t="n">
        <v>46326</v>
      </c>
      <c r="E2" s="20" t="n">
        <f aca="false">NETWORKDAYS(C2,D2)</f>
        <v>22</v>
      </c>
      <c r="F2" s="23" t="n">
        <f aca="false">SUMPRODUCT(('Daily Expected'!$A$4:$A$12=$A2)*('Daily Expected'!$C$3:$CP$3&gt;=$C2)*('Daily Expected'!$C$3:$CP$3&lt;=$D2)*'Daily Expected'!$C$4:$CP$12)</f>
        <v>633</v>
      </c>
      <c r="G2" s="23" t="n">
        <f aca="false">F2/'Assignment Calc'!$B$1</f>
        <v>70.3333333333333</v>
      </c>
      <c r="H2" s="23" t="n">
        <f aca="false">IF($A2="Unassigned",0,E2*'Assignment Calc'!$B$1)</f>
        <v>198</v>
      </c>
      <c r="I2" s="27" t="n">
        <f aca="false">IF(H2=0,0,F2/H2)</f>
        <v>3.1969696969697</v>
      </c>
      <c r="J2" s="20" t="str">
        <f aca="false">IF($A2="Unassigned",IF(F2&gt;0,"Unassigned hours","-"),IF(F2=0,"Unallocated",IF(F2&gt;H2+0.0001,"Over-allocated",IF(ABS(F2-H2)&lt;0.0001,"Optimally allocated","Under-allocated"))))</f>
        <v>Over-allocated</v>
      </c>
      <c r="K2" s="23" t="n">
        <f aca="false">SUMPRODUCT(('Daily Closed-Cancelled'!$A$4:$A$12=$A2)*('Daily Closed-Cancelled'!$C$3:$CP$3&gt;=$C2)*('Daily Closed-Cancelled'!$C$3:$CP$3&lt;=$D2)*'Daily Closed-Cancelled'!$C$4:$CP$12)</f>
        <v>198</v>
      </c>
      <c r="L2" s="23" t="n">
        <f aca="false">F2-K2</f>
        <v>435</v>
      </c>
      <c r="M2" s="20" t="n">
        <f aca="false">SUMPRODUCT(('Daily Expected'!$A$4:$A$12=$A2)*('Daily Expected'!$C$3:$CP$3&gt;=$C2)*('Daily Expected'!$C$3:$CP$3&lt;=$D2)*(WEEKDAY('Daily Expected'!$C$3:$CP$3,2)&lt;6)*('Daily Expected'!$C$4:$CP$12&gt;'Assignment Calc'!$B$1+0.0001))</f>
        <v>22</v>
      </c>
      <c r="N2" s="20" t="n">
        <f aca="false">SUMPRODUCT(('Daily Expected'!$A$4:$A$12=$A2)*('Daily Expected'!$C$3:$CP$3&gt;=$C2)*('Daily Expected'!$C$3:$CP$3&lt;=$D2)*(WEEKDAY('Daily Expected'!$C$3:$CP$3,2)&lt;6)*(ABS('Daily Expected'!$C$4:$CP$12-'Assignment Calc'!$B$1)&lt;0.0001))</f>
        <v>0</v>
      </c>
      <c r="O2" s="20" t="n">
        <f aca="false">SUMPRODUCT(('Daily Expected'!$A$4:$A$12=$A2)*('Daily Expected'!$C$3:$CP$3&gt;=$C2)*('Daily Expected'!$C$3:$CP$3&lt;=$D2)*(WEEKDAY('Daily Expected'!$C$3:$CP$3,2)&lt;6)*('Daily Expected'!$C$4:$CP$12&gt;0)*('Daily Expected'!$C$4:$CP$12&lt;'Assignment Calc'!$B$1-0.0001))</f>
        <v>0</v>
      </c>
      <c r="P2" s="20" t="n">
        <f aca="false">SUMPRODUCT(('Daily Expected'!$A$4:$A$12=$A2)*('Daily Expected'!$C$3:$CP$3&gt;=$C2)*('Daily Expected'!$C$3:$CP$3&lt;=$D2)*(WEEKDAY('Daily Expected'!$C$3:$CP$3,2)&lt;6)*('Daily Expected'!$C$4:$CP$12=0))</f>
        <v>0</v>
      </c>
    </row>
    <row r="3" customFormat="false" ht="15" hidden="false" customHeight="true" outlineLevel="0" collapsed="false">
      <c r="A3" s="20" t="s">
        <v>39</v>
      </c>
      <c r="B3" s="20" t="s">
        <v>508</v>
      </c>
      <c r="C3" s="22" t="n">
        <v>46327</v>
      </c>
      <c r="D3" s="22" t="n">
        <v>46356</v>
      </c>
      <c r="E3" s="20" t="n">
        <f aca="false">NETWORKDAYS(C3,D3)</f>
        <v>21</v>
      </c>
      <c r="F3" s="23" t="n">
        <f aca="false">SUMPRODUCT(('Daily Expected'!$A$4:$A$12=$A3)*('Daily Expected'!$C$3:$CP$3&gt;=$C3)*('Daily Expected'!$C$3:$CP$3&lt;=$D3)*'Daily Expected'!$C$4:$CP$12)</f>
        <v>157.5</v>
      </c>
      <c r="G3" s="23" t="n">
        <f aca="false">F3/'Assignment Calc'!$B$1</f>
        <v>17.5</v>
      </c>
      <c r="H3" s="23" t="n">
        <f aca="false">IF($A3="Unassigned",0,E3*'Assignment Calc'!$B$1)</f>
        <v>189</v>
      </c>
      <c r="I3" s="27" t="n">
        <f aca="false">IF(H3=0,0,F3/H3)</f>
        <v>0.833333333333333</v>
      </c>
      <c r="J3" s="20" t="str">
        <f aca="false">IF($A3="Unassigned",IF(F3&gt;0,"Unassigned hours","-"),IF(F3=0,"Unallocated",IF(F3&gt;H3+0.0001,"Over-allocated",IF(ABS(F3-H3)&lt;0.0001,"Optimally allocated","Under-allocated"))))</f>
        <v>Under-allocated</v>
      </c>
      <c r="K3" s="23" t="n">
        <f aca="false">SUMPRODUCT(('Daily Closed-Cancelled'!$A$4:$A$12=$A3)*('Daily Closed-Cancelled'!$C$3:$CP$3&gt;=$C3)*('Daily Closed-Cancelled'!$C$3:$CP$3&lt;=$D3)*'Daily Closed-Cancelled'!$C$4:$CP$12)</f>
        <v>25</v>
      </c>
      <c r="L3" s="23" t="n">
        <f aca="false">F3-K3</f>
        <v>132.5</v>
      </c>
      <c r="M3" s="20" t="n">
        <f aca="false">SUMPRODUCT(('Daily Expected'!$A$4:$A$12=$A3)*('Daily Expected'!$C$3:$CP$3&gt;=$C3)*('Daily Expected'!$C$3:$CP$3&lt;=$D3)*(WEEKDAY('Daily Expected'!$C$3:$CP$3,2)&lt;6)*('Daily Expected'!$C$4:$CP$12&gt;'Assignment Calc'!$B$1+0.0001))</f>
        <v>10</v>
      </c>
      <c r="N3" s="20" t="n">
        <f aca="false">SUMPRODUCT(('Daily Expected'!$A$4:$A$12=$A3)*('Daily Expected'!$C$3:$CP$3&gt;=$C3)*('Daily Expected'!$C$3:$CP$3&lt;=$D3)*(WEEKDAY('Daily Expected'!$C$3:$CP$3,2)&lt;6)*(ABS('Daily Expected'!$C$4:$CP$12-'Assignment Calc'!$B$1)&lt;0.0001))</f>
        <v>0</v>
      </c>
      <c r="O3" s="20" t="n">
        <f aca="false">SUMPRODUCT(('Daily Expected'!$A$4:$A$12=$A3)*('Daily Expected'!$C$3:$CP$3&gt;=$C3)*('Daily Expected'!$C$3:$CP$3&lt;=$D3)*(WEEKDAY('Daily Expected'!$C$3:$CP$3,2)&lt;6)*('Daily Expected'!$C$4:$CP$12&gt;0)*('Daily Expected'!$C$4:$CP$12&lt;'Assignment Calc'!$B$1-0.0001))</f>
        <v>5</v>
      </c>
      <c r="P3" s="20" t="n">
        <f aca="false">SUMPRODUCT(('Daily Expected'!$A$4:$A$12=$A3)*('Daily Expected'!$C$3:$CP$3&gt;=$C3)*('Daily Expected'!$C$3:$CP$3&lt;=$D3)*(WEEKDAY('Daily Expected'!$C$3:$CP$3,2)&lt;6)*('Daily Expected'!$C$4:$CP$12=0))</f>
        <v>6</v>
      </c>
    </row>
    <row r="4" customFormat="false" ht="15" hidden="false" customHeight="true" outlineLevel="0" collapsed="false">
      <c r="A4" s="20" t="s">
        <v>39</v>
      </c>
      <c r="B4" s="20" t="s">
        <v>512</v>
      </c>
      <c r="C4" s="22" t="n">
        <v>46357</v>
      </c>
      <c r="D4" s="22" t="n">
        <v>46387</v>
      </c>
      <c r="E4" s="20" t="n">
        <f aca="false">NETWORKDAYS(C4,D4)</f>
        <v>23</v>
      </c>
      <c r="F4" s="23" t="n">
        <f aca="false">SUMPRODUCT(('Daily Expected'!$A$4:$A$12=$A4)*('Daily Expected'!$C$3:$CP$3&gt;=$C4)*('Daily Expected'!$C$3:$CP$3&lt;=$D4)*'Daily Expected'!$C$4:$CP$12)</f>
        <v>129</v>
      </c>
      <c r="G4" s="23" t="n">
        <f aca="false">F4/'Assignment Calc'!$B$1</f>
        <v>14.3333333333333</v>
      </c>
      <c r="H4" s="23" t="n">
        <f aca="false">IF($A4="Unassigned",0,E4*'Assignment Calc'!$B$1)</f>
        <v>207</v>
      </c>
      <c r="I4" s="27" t="n">
        <f aca="false">IF(H4=0,0,F4/H4)</f>
        <v>0.623188405797101</v>
      </c>
      <c r="J4" s="20" t="str">
        <f aca="false">IF($A4="Unassigned",IF(F4&gt;0,"Unassigned hours","-"),IF(F4=0,"Unallocated",IF(F4&gt;H4+0.0001,"Over-allocated",IF(ABS(F4-H4)&lt;0.0001,"Optimally allocated","Under-allocated"))))</f>
        <v>Under-allocated</v>
      </c>
      <c r="K4" s="23" t="n">
        <f aca="false">SUMPRODUCT(('Daily Closed-Cancelled'!$A$4:$A$12=$A4)*('Daily Closed-Cancelled'!$C$3:$CP$3&gt;=$C4)*('Daily Closed-Cancelled'!$C$3:$CP$3&lt;=$D4)*'Daily Closed-Cancelled'!$C$4:$CP$12)</f>
        <v>0</v>
      </c>
      <c r="L4" s="23" t="n">
        <f aca="false">F4-K4</f>
        <v>129</v>
      </c>
      <c r="M4" s="20" t="n">
        <f aca="false">SUMPRODUCT(('Daily Expected'!$A$4:$A$12=$A4)*('Daily Expected'!$C$3:$CP$3&gt;=$C4)*('Daily Expected'!$C$3:$CP$3&lt;=$D4)*(WEEKDAY('Daily Expected'!$C$3:$CP$3,2)&lt;6)*('Daily Expected'!$C$4:$CP$12&gt;'Assignment Calc'!$B$1+0.0001))</f>
        <v>5</v>
      </c>
      <c r="N4" s="20" t="n">
        <f aca="false">SUMPRODUCT(('Daily Expected'!$A$4:$A$12=$A4)*('Daily Expected'!$C$3:$CP$3&gt;=$C4)*('Daily Expected'!$C$3:$CP$3&lt;=$D4)*(WEEKDAY('Daily Expected'!$C$3:$CP$3,2)&lt;6)*(ABS('Daily Expected'!$C$4:$CP$12-'Assignment Calc'!$B$1)&lt;0.0001))</f>
        <v>4</v>
      </c>
      <c r="O4" s="20" t="n">
        <f aca="false">SUMPRODUCT(('Daily Expected'!$A$4:$A$12=$A4)*('Daily Expected'!$C$3:$CP$3&gt;=$C4)*('Daily Expected'!$C$3:$CP$3&lt;=$D4)*(WEEKDAY('Daily Expected'!$C$3:$CP$3,2)&lt;6)*('Daily Expected'!$C$4:$CP$12&gt;0)*('Daily Expected'!$C$4:$CP$12&lt;'Assignment Calc'!$B$1-0.0001))</f>
        <v>9</v>
      </c>
      <c r="P4" s="20" t="n">
        <f aca="false">SUMPRODUCT(('Daily Expected'!$A$4:$A$12=$A4)*('Daily Expected'!$C$3:$CP$3&gt;=$C4)*('Daily Expected'!$C$3:$CP$3&lt;=$D4)*(WEEKDAY('Daily Expected'!$C$3:$CP$3,2)&lt;6)*('Daily Expected'!$C$4:$CP$12=0))</f>
        <v>5</v>
      </c>
    </row>
    <row r="5" customFormat="false" ht="15" hidden="false" customHeight="true" outlineLevel="0" collapsed="false">
      <c r="A5" s="2" t="s">
        <v>39</v>
      </c>
      <c r="B5" s="2" t="s">
        <v>710</v>
      </c>
      <c r="C5" s="29" t="n">
        <v>46296</v>
      </c>
      <c r="D5" s="29" t="n">
        <v>46387</v>
      </c>
      <c r="E5" s="2" t="n">
        <f aca="false">NETWORKDAYS(C5,D5)</f>
        <v>66</v>
      </c>
      <c r="F5" s="30" t="n">
        <f aca="false">SUMPRODUCT(('Daily Expected'!$A$4:$A$12=$A5)*('Daily Expected'!$C$3:$CP$3&gt;=$C5)*('Daily Expected'!$C$3:$CP$3&lt;=$D5)*'Daily Expected'!$C$4:$CP$12)</f>
        <v>919.5</v>
      </c>
      <c r="G5" s="30" t="n">
        <f aca="false">F5/'Assignment Calc'!$B$1</f>
        <v>102.166666666667</v>
      </c>
      <c r="H5" s="30" t="n">
        <f aca="false">IF($A5="Unassigned",0,E5*'Assignment Calc'!$B$1)</f>
        <v>594</v>
      </c>
      <c r="I5" s="31" t="n">
        <f aca="false">IF(H5=0,0,F5/H5)</f>
        <v>1.5479797979798</v>
      </c>
      <c r="J5" s="2" t="str">
        <f aca="false">IF($A5="Unassigned",IF(F5&gt;0,"Unassigned hours","-"),IF(F5=0,"Unallocated",IF(F5&gt;H5+0.0001,"Over-allocated",IF(ABS(F5-H5)&lt;0.0001,"Optimally allocated","Under-allocated"))))</f>
        <v>Over-allocated</v>
      </c>
      <c r="K5" s="30" t="n">
        <f aca="false">SUMPRODUCT(('Daily Closed-Cancelled'!$A$4:$A$12=$A5)*('Daily Closed-Cancelled'!$C$3:$CP$3&gt;=$C5)*('Daily Closed-Cancelled'!$C$3:$CP$3&lt;=$D5)*'Daily Closed-Cancelled'!$C$4:$CP$12)</f>
        <v>223</v>
      </c>
      <c r="L5" s="30" t="n">
        <f aca="false">F5-K5</f>
        <v>696.5</v>
      </c>
      <c r="M5" s="2" t="n">
        <f aca="false">SUMPRODUCT(('Daily Expected'!$A$4:$A$12=$A5)*('Daily Expected'!$C$3:$CP$3&gt;=$C5)*('Daily Expected'!$C$3:$CP$3&lt;=$D5)*(WEEKDAY('Daily Expected'!$C$3:$CP$3,2)&lt;6)*('Daily Expected'!$C$4:$CP$12&gt;'Assignment Calc'!$B$1+0.0001))</f>
        <v>37</v>
      </c>
      <c r="N5" s="2" t="n">
        <f aca="false">SUMPRODUCT(('Daily Expected'!$A$4:$A$12=$A5)*('Daily Expected'!$C$3:$CP$3&gt;=$C5)*('Daily Expected'!$C$3:$CP$3&lt;=$D5)*(WEEKDAY('Daily Expected'!$C$3:$CP$3,2)&lt;6)*(ABS('Daily Expected'!$C$4:$CP$12-'Assignment Calc'!$B$1)&lt;0.0001))</f>
        <v>4</v>
      </c>
      <c r="O5" s="2" t="n">
        <f aca="false">SUMPRODUCT(('Daily Expected'!$A$4:$A$12=$A5)*('Daily Expected'!$C$3:$CP$3&gt;=$C5)*('Daily Expected'!$C$3:$CP$3&lt;=$D5)*(WEEKDAY('Daily Expected'!$C$3:$CP$3,2)&lt;6)*('Daily Expected'!$C$4:$CP$12&gt;0)*('Daily Expected'!$C$4:$CP$12&lt;'Assignment Calc'!$B$1-0.0001))</f>
        <v>14</v>
      </c>
      <c r="P5" s="2" t="n">
        <f aca="false">SUMPRODUCT(('Daily Expected'!$A$4:$A$12=$A5)*('Daily Expected'!$C$3:$CP$3&gt;=$C5)*('Daily Expected'!$C$3:$CP$3&lt;=$D5)*(WEEKDAY('Daily Expected'!$C$3:$CP$3,2)&lt;6)*('Daily Expected'!$C$4:$CP$12=0))</f>
        <v>11</v>
      </c>
    </row>
    <row r="6" customFormat="false" ht="15" hidden="false" customHeight="true" outlineLevel="0" collapsed="false">
      <c r="A6" s="20" t="s">
        <v>94</v>
      </c>
      <c r="B6" s="20" t="s">
        <v>501</v>
      </c>
      <c r="C6" s="22" t="n">
        <v>46296</v>
      </c>
      <c r="D6" s="22" t="n">
        <v>46326</v>
      </c>
      <c r="E6" s="20" t="n">
        <f aca="false">NETWORKDAYS(C6,D6)</f>
        <v>22</v>
      </c>
      <c r="F6" s="23" t="n">
        <f aca="false">SUMPRODUCT(('Daily Expected'!$A$4:$A$12=$A6)*('Daily Expected'!$C$3:$CP$3&gt;=$C6)*('Daily Expected'!$C$3:$CP$3&lt;=$D6)*'Daily Expected'!$C$4:$CP$12)</f>
        <v>333.75</v>
      </c>
      <c r="G6" s="23" t="n">
        <f aca="false">F6/'Assignment Calc'!$B$1</f>
        <v>37.0833333333333</v>
      </c>
      <c r="H6" s="23" t="n">
        <f aca="false">IF($A6="Unassigned",0,E6*'Assignment Calc'!$B$1)</f>
        <v>198</v>
      </c>
      <c r="I6" s="27" t="n">
        <f aca="false">IF(H6=0,0,F6/H6)</f>
        <v>1.68560606060606</v>
      </c>
      <c r="J6" s="20" t="str">
        <f aca="false">IF($A6="Unassigned",IF(F6&gt;0,"Unassigned hours","-"),IF(F6=0,"Unallocated",IF(F6&gt;H6+0.0001,"Over-allocated",IF(ABS(F6-H6)&lt;0.0001,"Optimally allocated","Under-allocated"))))</f>
        <v>Over-allocated</v>
      </c>
      <c r="K6" s="23" t="n">
        <f aca="false">SUMPRODUCT(('Daily Closed-Cancelled'!$A$4:$A$12=$A6)*('Daily Closed-Cancelled'!$C$3:$CP$3&gt;=$C6)*('Daily Closed-Cancelled'!$C$3:$CP$3&lt;=$D6)*'Daily Closed-Cancelled'!$C$4:$CP$12)</f>
        <v>78.75</v>
      </c>
      <c r="L6" s="23" t="n">
        <f aca="false">F6-K6</f>
        <v>255</v>
      </c>
      <c r="M6" s="20" t="n">
        <f aca="false">SUMPRODUCT(('Daily Expected'!$A$4:$A$12=$A6)*('Daily Expected'!$C$3:$CP$3&gt;=$C6)*('Daily Expected'!$C$3:$CP$3&lt;=$D6)*(WEEKDAY('Daily Expected'!$C$3:$CP$3,2)&lt;6)*('Daily Expected'!$C$4:$CP$12&gt;'Assignment Calc'!$B$1+0.0001))</f>
        <v>16</v>
      </c>
      <c r="N6" s="20" t="n">
        <f aca="false">SUMPRODUCT(('Daily Expected'!$A$4:$A$12=$A6)*('Daily Expected'!$C$3:$CP$3&gt;=$C6)*('Daily Expected'!$C$3:$CP$3&lt;=$D6)*(WEEKDAY('Daily Expected'!$C$3:$CP$3,2)&lt;6)*(ABS('Daily Expected'!$C$4:$CP$12-'Assignment Calc'!$B$1)&lt;0.0001))</f>
        <v>6</v>
      </c>
      <c r="O6" s="20" t="n">
        <f aca="false">SUMPRODUCT(('Daily Expected'!$A$4:$A$12=$A6)*('Daily Expected'!$C$3:$CP$3&gt;=$C6)*('Daily Expected'!$C$3:$CP$3&lt;=$D6)*(WEEKDAY('Daily Expected'!$C$3:$CP$3,2)&lt;6)*('Daily Expected'!$C$4:$CP$12&gt;0)*('Daily Expected'!$C$4:$CP$12&lt;'Assignment Calc'!$B$1-0.0001))</f>
        <v>0</v>
      </c>
      <c r="P6" s="20" t="n">
        <f aca="false">SUMPRODUCT(('Daily Expected'!$A$4:$A$12=$A6)*('Daily Expected'!$C$3:$CP$3&gt;=$C6)*('Daily Expected'!$C$3:$CP$3&lt;=$D6)*(WEEKDAY('Daily Expected'!$C$3:$CP$3,2)&lt;6)*('Daily Expected'!$C$4:$CP$12=0))</f>
        <v>0</v>
      </c>
    </row>
    <row r="7" customFormat="false" ht="15" hidden="false" customHeight="true" outlineLevel="0" collapsed="false">
      <c r="A7" s="20" t="s">
        <v>94</v>
      </c>
      <c r="B7" s="20" t="s">
        <v>508</v>
      </c>
      <c r="C7" s="22" t="n">
        <v>46327</v>
      </c>
      <c r="D7" s="22" t="n">
        <v>46356</v>
      </c>
      <c r="E7" s="20" t="n">
        <f aca="false">NETWORKDAYS(C7,D7)</f>
        <v>21</v>
      </c>
      <c r="F7" s="23" t="n">
        <f aca="false">SUMPRODUCT(('Daily Expected'!$A$4:$A$12=$A7)*('Daily Expected'!$C$3:$CP$3&gt;=$C7)*('Daily Expected'!$C$3:$CP$3&lt;=$D7)*'Daily Expected'!$C$4:$CP$12)</f>
        <v>120</v>
      </c>
      <c r="G7" s="23" t="n">
        <f aca="false">F7/'Assignment Calc'!$B$1</f>
        <v>13.3333333333333</v>
      </c>
      <c r="H7" s="23" t="n">
        <f aca="false">IF($A7="Unassigned",0,E7*'Assignment Calc'!$B$1)</f>
        <v>189</v>
      </c>
      <c r="I7" s="27" t="n">
        <f aca="false">IF(H7=0,0,F7/H7)</f>
        <v>0.634920634920635</v>
      </c>
      <c r="J7" s="20" t="str">
        <f aca="false">IF($A7="Unassigned",IF(F7&gt;0,"Unassigned hours","-"),IF(F7=0,"Unallocated",IF(F7&gt;H7+0.0001,"Over-allocated",IF(ABS(F7-H7)&lt;0.0001,"Optimally allocated","Under-allocated"))))</f>
        <v>Under-allocated</v>
      </c>
      <c r="K7" s="23" t="n">
        <f aca="false">SUMPRODUCT(('Daily Closed-Cancelled'!$A$4:$A$12=$A7)*('Daily Closed-Cancelled'!$C$3:$CP$3&gt;=$C7)*('Daily Closed-Cancelled'!$C$3:$CP$3&lt;=$D7)*'Daily Closed-Cancelled'!$C$4:$CP$12)</f>
        <v>0</v>
      </c>
      <c r="L7" s="23" t="n">
        <f aca="false">F7-K7</f>
        <v>120</v>
      </c>
      <c r="M7" s="20" t="n">
        <f aca="false">SUMPRODUCT(('Daily Expected'!$A$4:$A$12=$A7)*('Daily Expected'!$C$3:$CP$3&gt;=$C7)*('Daily Expected'!$C$3:$CP$3&lt;=$D7)*(WEEKDAY('Daily Expected'!$C$3:$CP$3,2)&lt;6)*('Daily Expected'!$C$4:$CP$12&gt;'Assignment Calc'!$B$1+0.0001))</f>
        <v>5</v>
      </c>
      <c r="N7" s="20" t="n">
        <f aca="false">SUMPRODUCT(('Daily Expected'!$A$4:$A$12=$A7)*('Daily Expected'!$C$3:$CP$3&gt;=$C7)*('Daily Expected'!$C$3:$CP$3&lt;=$D7)*(WEEKDAY('Daily Expected'!$C$3:$CP$3,2)&lt;6)*(ABS('Daily Expected'!$C$4:$CP$12-'Assignment Calc'!$B$1)&lt;0.0001))</f>
        <v>5</v>
      </c>
      <c r="O7" s="20" t="n">
        <f aca="false">SUMPRODUCT(('Daily Expected'!$A$4:$A$12=$A7)*('Daily Expected'!$C$3:$CP$3&gt;=$C7)*('Daily Expected'!$C$3:$CP$3&lt;=$D7)*(WEEKDAY('Daily Expected'!$C$3:$CP$3,2)&lt;6)*('Daily Expected'!$C$4:$CP$12&gt;0)*('Daily Expected'!$C$4:$CP$12&lt;'Assignment Calc'!$B$1-0.0001))</f>
        <v>5</v>
      </c>
      <c r="P7" s="20" t="n">
        <f aca="false">SUMPRODUCT(('Daily Expected'!$A$4:$A$12=$A7)*('Daily Expected'!$C$3:$CP$3&gt;=$C7)*('Daily Expected'!$C$3:$CP$3&lt;=$D7)*(WEEKDAY('Daily Expected'!$C$3:$CP$3,2)&lt;6)*('Daily Expected'!$C$4:$CP$12=0))</f>
        <v>6</v>
      </c>
    </row>
    <row r="8" customFormat="false" ht="15" hidden="false" customHeight="true" outlineLevel="0" collapsed="false">
      <c r="A8" s="20" t="s">
        <v>94</v>
      </c>
      <c r="B8" s="20" t="s">
        <v>512</v>
      </c>
      <c r="C8" s="22" t="n">
        <v>46357</v>
      </c>
      <c r="D8" s="22" t="n">
        <v>46387</v>
      </c>
      <c r="E8" s="20" t="n">
        <f aca="false">NETWORKDAYS(C8,D8)</f>
        <v>23</v>
      </c>
      <c r="F8" s="23" t="n">
        <f aca="false">SUMPRODUCT(('Daily Expected'!$A$4:$A$12=$A8)*('Daily Expected'!$C$3:$CP$3&gt;=$C8)*('Daily Expected'!$C$3:$CP$3&lt;=$D8)*'Daily Expected'!$C$4:$CP$12)</f>
        <v>135.5</v>
      </c>
      <c r="G8" s="23" t="n">
        <f aca="false">F8/'Assignment Calc'!$B$1</f>
        <v>15.0555555555556</v>
      </c>
      <c r="H8" s="23" t="n">
        <f aca="false">IF($A8="Unassigned",0,E8*'Assignment Calc'!$B$1)</f>
        <v>207</v>
      </c>
      <c r="I8" s="27" t="n">
        <f aca="false">IF(H8=0,0,F8/H8)</f>
        <v>0.654589371980676</v>
      </c>
      <c r="J8" s="20" t="str">
        <f aca="false">IF($A8="Unassigned",IF(F8&gt;0,"Unassigned hours","-"),IF(F8=0,"Unallocated",IF(F8&gt;H8+0.0001,"Over-allocated",IF(ABS(F8-H8)&lt;0.0001,"Optimally allocated","Under-allocated"))))</f>
        <v>Under-allocated</v>
      </c>
      <c r="K8" s="23" t="n">
        <f aca="false">SUMPRODUCT(('Daily Closed-Cancelled'!$A$4:$A$12=$A8)*('Daily Closed-Cancelled'!$C$3:$CP$3&gt;=$C8)*('Daily Closed-Cancelled'!$C$3:$CP$3&lt;=$D8)*'Daily Closed-Cancelled'!$C$4:$CP$12)</f>
        <v>67.5</v>
      </c>
      <c r="L8" s="23" t="n">
        <f aca="false">F8-K8</f>
        <v>68</v>
      </c>
      <c r="M8" s="20" t="n">
        <f aca="false">SUMPRODUCT(('Daily Expected'!$A$4:$A$12=$A8)*('Daily Expected'!$C$3:$CP$3&gt;=$C8)*('Daily Expected'!$C$3:$CP$3&lt;=$D8)*(WEEKDAY('Daily Expected'!$C$3:$CP$3,2)&lt;6)*('Daily Expected'!$C$4:$CP$12&gt;'Assignment Calc'!$B$1+0.0001))</f>
        <v>5</v>
      </c>
      <c r="N8" s="20" t="n">
        <f aca="false">SUMPRODUCT(('Daily Expected'!$A$4:$A$12=$A8)*('Daily Expected'!$C$3:$CP$3&gt;=$C8)*('Daily Expected'!$C$3:$CP$3&lt;=$D8)*(WEEKDAY('Daily Expected'!$C$3:$CP$3,2)&lt;6)*(ABS('Daily Expected'!$C$4:$CP$12-'Assignment Calc'!$B$1)&lt;0.0001))</f>
        <v>5</v>
      </c>
      <c r="O8" s="20" t="n">
        <f aca="false">SUMPRODUCT(('Daily Expected'!$A$4:$A$12=$A8)*('Daily Expected'!$C$3:$CP$3&gt;=$C8)*('Daily Expected'!$C$3:$CP$3&lt;=$D8)*(WEEKDAY('Daily Expected'!$C$3:$CP$3,2)&lt;6)*('Daily Expected'!$C$4:$CP$12&gt;0)*('Daily Expected'!$C$4:$CP$12&lt;'Assignment Calc'!$B$1-0.0001))</f>
        <v>8</v>
      </c>
      <c r="P8" s="20" t="n">
        <f aca="false">SUMPRODUCT(('Daily Expected'!$A$4:$A$12=$A8)*('Daily Expected'!$C$3:$CP$3&gt;=$C8)*('Daily Expected'!$C$3:$CP$3&lt;=$D8)*(WEEKDAY('Daily Expected'!$C$3:$CP$3,2)&lt;6)*('Daily Expected'!$C$4:$CP$12=0))</f>
        <v>5</v>
      </c>
    </row>
    <row r="9" customFormat="false" ht="15" hidden="false" customHeight="true" outlineLevel="0" collapsed="false">
      <c r="A9" s="2" t="s">
        <v>94</v>
      </c>
      <c r="B9" s="2" t="s">
        <v>710</v>
      </c>
      <c r="C9" s="29" t="n">
        <v>46296</v>
      </c>
      <c r="D9" s="29" t="n">
        <v>46387</v>
      </c>
      <c r="E9" s="2" t="n">
        <f aca="false">NETWORKDAYS(C9,D9)</f>
        <v>66</v>
      </c>
      <c r="F9" s="30" t="n">
        <f aca="false">SUMPRODUCT(('Daily Expected'!$A$4:$A$12=$A9)*('Daily Expected'!$C$3:$CP$3&gt;=$C9)*('Daily Expected'!$C$3:$CP$3&lt;=$D9)*'Daily Expected'!$C$4:$CP$12)</f>
        <v>589.25</v>
      </c>
      <c r="G9" s="30" t="n">
        <f aca="false">F9/'Assignment Calc'!$B$1</f>
        <v>65.4722222222222</v>
      </c>
      <c r="H9" s="30" t="n">
        <f aca="false">IF($A9="Unassigned",0,E9*'Assignment Calc'!$B$1)</f>
        <v>594</v>
      </c>
      <c r="I9" s="31" t="n">
        <f aca="false">IF(H9=0,0,F9/H9)</f>
        <v>0.992003367003367</v>
      </c>
      <c r="J9" s="2" t="str">
        <f aca="false">IF($A9="Unassigned",IF(F9&gt;0,"Unassigned hours","-"),IF(F9=0,"Unallocated",IF(F9&gt;H9+0.0001,"Over-allocated",IF(ABS(F9-H9)&lt;0.0001,"Optimally allocated","Under-allocated"))))</f>
        <v>Under-allocated</v>
      </c>
      <c r="K9" s="30" t="n">
        <f aca="false">SUMPRODUCT(('Daily Closed-Cancelled'!$A$4:$A$12=$A9)*('Daily Closed-Cancelled'!$C$3:$CP$3&gt;=$C9)*('Daily Closed-Cancelled'!$C$3:$CP$3&lt;=$D9)*'Daily Closed-Cancelled'!$C$4:$CP$12)</f>
        <v>146.25</v>
      </c>
      <c r="L9" s="30" t="n">
        <f aca="false">F9-K9</f>
        <v>443</v>
      </c>
      <c r="M9" s="2" t="n">
        <f aca="false">SUMPRODUCT(('Daily Expected'!$A$4:$A$12=$A9)*('Daily Expected'!$C$3:$CP$3&gt;=$C9)*('Daily Expected'!$C$3:$CP$3&lt;=$D9)*(WEEKDAY('Daily Expected'!$C$3:$CP$3,2)&lt;6)*('Daily Expected'!$C$4:$CP$12&gt;'Assignment Calc'!$B$1+0.0001))</f>
        <v>26</v>
      </c>
      <c r="N9" s="2" t="n">
        <f aca="false">SUMPRODUCT(('Daily Expected'!$A$4:$A$12=$A9)*('Daily Expected'!$C$3:$CP$3&gt;=$C9)*('Daily Expected'!$C$3:$CP$3&lt;=$D9)*(WEEKDAY('Daily Expected'!$C$3:$CP$3,2)&lt;6)*(ABS('Daily Expected'!$C$4:$CP$12-'Assignment Calc'!$B$1)&lt;0.0001))</f>
        <v>16</v>
      </c>
      <c r="O9" s="2" t="n">
        <f aca="false">SUMPRODUCT(('Daily Expected'!$A$4:$A$12=$A9)*('Daily Expected'!$C$3:$CP$3&gt;=$C9)*('Daily Expected'!$C$3:$CP$3&lt;=$D9)*(WEEKDAY('Daily Expected'!$C$3:$CP$3,2)&lt;6)*('Daily Expected'!$C$4:$CP$12&gt;0)*('Daily Expected'!$C$4:$CP$12&lt;'Assignment Calc'!$B$1-0.0001))</f>
        <v>13</v>
      </c>
      <c r="P9" s="2" t="n">
        <f aca="false">SUMPRODUCT(('Daily Expected'!$A$4:$A$12=$A9)*('Daily Expected'!$C$3:$CP$3&gt;=$C9)*('Daily Expected'!$C$3:$CP$3&lt;=$D9)*(WEEKDAY('Daily Expected'!$C$3:$CP$3,2)&lt;6)*('Daily Expected'!$C$4:$CP$12=0))</f>
        <v>11</v>
      </c>
    </row>
    <row r="10" customFormat="false" ht="15" hidden="false" customHeight="true" outlineLevel="0" collapsed="false">
      <c r="A10" s="20" t="s">
        <v>117</v>
      </c>
      <c r="B10" s="20" t="s">
        <v>501</v>
      </c>
      <c r="C10" s="22" t="n">
        <v>46296</v>
      </c>
      <c r="D10" s="22" t="n">
        <v>46326</v>
      </c>
      <c r="E10" s="20" t="n">
        <f aca="false">NETWORKDAYS(C10,D10)</f>
        <v>22</v>
      </c>
      <c r="F10" s="23" t="n">
        <f aca="false">SUMPRODUCT(('Daily Expected'!$A$4:$A$12=$A10)*('Daily Expected'!$C$3:$CP$3&gt;=$C10)*('Daily Expected'!$C$3:$CP$3&lt;=$D10)*'Daily Expected'!$C$4:$CP$12)</f>
        <v>219</v>
      </c>
      <c r="G10" s="23" t="n">
        <f aca="false">F10/'Assignment Calc'!$B$1</f>
        <v>24.3333333333333</v>
      </c>
      <c r="H10" s="23" t="n">
        <f aca="false">IF($A10="Unassigned",0,E10*'Assignment Calc'!$B$1)</f>
        <v>198</v>
      </c>
      <c r="I10" s="27" t="n">
        <f aca="false">IF(H10=0,0,F10/H10)</f>
        <v>1.10606060606061</v>
      </c>
      <c r="J10" s="20" t="str">
        <f aca="false">IF($A10="Unassigned",IF(F10&gt;0,"Unassigned hours","-"),IF(F10=0,"Unallocated",IF(F10&gt;H10+0.0001,"Over-allocated",IF(ABS(F10-H10)&lt;0.0001,"Optimally allocated","Under-allocated"))))</f>
        <v>Over-allocated</v>
      </c>
      <c r="K10" s="23" t="n">
        <f aca="false">SUMPRODUCT(('Daily Closed-Cancelled'!$A$4:$A$12=$A10)*('Daily Closed-Cancelled'!$C$3:$CP$3&gt;=$C10)*('Daily Closed-Cancelled'!$C$3:$CP$3&lt;=$D10)*'Daily Closed-Cancelled'!$C$4:$CP$12)</f>
        <v>0</v>
      </c>
      <c r="L10" s="23" t="n">
        <f aca="false">F10-K10</f>
        <v>219</v>
      </c>
      <c r="M10" s="20" t="n">
        <f aca="false">SUMPRODUCT(('Daily Expected'!$A$4:$A$12=$A10)*('Daily Expected'!$C$3:$CP$3&gt;=$C10)*('Daily Expected'!$C$3:$CP$3&lt;=$D10)*(WEEKDAY('Daily Expected'!$C$3:$CP$3,2)&lt;6)*('Daily Expected'!$C$4:$CP$12&gt;'Assignment Calc'!$B$1+0.0001))</f>
        <v>10</v>
      </c>
      <c r="N10" s="20" t="n">
        <f aca="false">SUMPRODUCT(('Daily Expected'!$A$4:$A$12=$A10)*('Daily Expected'!$C$3:$CP$3&gt;=$C10)*('Daily Expected'!$C$3:$CP$3&lt;=$D10)*(WEEKDAY('Daily Expected'!$C$3:$CP$3,2)&lt;6)*(ABS('Daily Expected'!$C$4:$CP$12-'Assignment Calc'!$B$1)&lt;0.0001))</f>
        <v>0</v>
      </c>
      <c r="O10" s="20" t="n">
        <f aca="false">SUMPRODUCT(('Daily Expected'!$A$4:$A$12=$A10)*('Daily Expected'!$C$3:$CP$3&gt;=$C10)*('Daily Expected'!$C$3:$CP$3&lt;=$D10)*(WEEKDAY('Daily Expected'!$C$3:$CP$3,2)&lt;6)*('Daily Expected'!$C$4:$CP$12&gt;0)*('Daily Expected'!$C$4:$CP$12&lt;'Assignment Calc'!$B$1-0.0001))</f>
        <v>12</v>
      </c>
      <c r="P10" s="20" t="n">
        <f aca="false">SUMPRODUCT(('Daily Expected'!$A$4:$A$12=$A10)*('Daily Expected'!$C$3:$CP$3&gt;=$C10)*('Daily Expected'!$C$3:$CP$3&lt;=$D10)*(WEEKDAY('Daily Expected'!$C$3:$CP$3,2)&lt;6)*('Daily Expected'!$C$4:$CP$12=0))</f>
        <v>0</v>
      </c>
    </row>
    <row r="11" customFormat="false" ht="15" hidden="false" customHeight="true" outlineLevel="0" collapsed="false">
      <c r="A11" s="20" t="s">
        <v>117</v>
      </c>
      <c r="B11" s="20" t="s">
        <v>508</v>
      </c>
      <c r="C11" s="22" t="n">
        <v>46327</v>
      </c>
      <c r="D11" s="22" t="n">
        <v>46356</v>
      </c>
      <c r="E11" s="20" t="n">
        <f aca="false">NETWORKDAYS(C11,D11)</f>
        <v>21</v>
      </c>
      <c r="F11" s="23" t="n">
        <f aca="false">SUMPRODUCT(('Daily Expected'!$A$4:$A$12=$A11)*('Daily Expected'!$C$3:$CP$3&gt;=$C11)*('Daily Expected'!$C$3:$CP$3&lt;=$D11)*'Daily Expected'!$C$4:$CP$12)</f>
        <v>128.25</v>
      </c>
      <c r="G11" s="23" t="n">
        <f aca="false">F11/'Assignment Calc'!$B$1</f>
        <v>14.25</v>
      </c>
      <c r="H11" s="23" t="n">
        <f aca="false">IF($A11="Unassigned",0,E11*'Assignment Calc'!$B$1)</f>
        <v>189</v>
      </c>
      <c r="I11" s="27" t="n">
        <f aca="false">IF(H11=0,0,F11/H11)</f>
        <v>0.678571428571429</v>
      </c>
      <c r="J11" s="20" t="str">
        <f aca="false">IF($A11="Unassigned",IF(F11&gt;0,"Unassigned hours","-"),IF(F11=0,"Unallocated",IF(F11&gt;H11+0.0001,"Over-allocated",IF(ABS(F11-H11)&lt;0.0001,"Optimally allocated","Under-allocated"))))</f>
        <v>Under-allocated</v>
      </c>
      <c r="K11" s="23" t="n">
        <f aca="false">SUMPRODUCT(('Daily Closed-Cancelled'!$A$4:$A$12=$A11)*('Daily Closed-Cancelled'!$C$3:$CP$3&gt;=$C11)*('Daily Closed-Cancelled'!$C$3:$CP$3&lt;=$D11)*'Daily Closed-Cancelled'!$C$4:$CP$12)</f>
        <v>60.75</v>
      </c>
      <c r="L11" s="23" t="n">
        <f aca="false">F11-K11</f>
        <v>67.5</v>
      </c>
      <c r="M11" s="20" t="n">
        <f aca="false">SUMPRODUCT(('Daily Expected'!$A$4:$A$12=$A11)*('Daily Expected'!$C$3:$CP$3&gt;=$C11)*('Daily Expected'!$C$3:$CP$3&lt;=$D11)*(WEEKDAY('Daily Expected'!$C$3:$CP$3,2)&lt;6)*('Daily Expected'!$C$4:$CP$12&gt;'Assignment Calc'!$B$1+0.0001))</f>
        <v>5</v>
      </c>
      <c r="N11" s="20" t="n">
        <f aca="false">SUMPRODUCT(('Daily Expected'!$A$4:$A$12=$A11)*('Daily Expected'!$C$3:$CP$3&gt;=$C11)*('Daily Expected'!$C$3:$CP$3&lt;=$D11)*(WEEKDAY('Daily Expected'!$C$3:$CP$3,2)&lt;6)*(ABS('Daily Expected'!$C$4:$CP$12-'Assignment Calc'!$B$1)&lt;0.0001))</f>
        <v>5</v>
      </c>
      <c r="O11" s="20" t="n">
        <f aca="false">SUMPRODUCT(('Daily Expected'!$A$4:$A$12=$A11)*('Daily Expected'!$C$3:$CP$3&gt;=$C11)*('Daily Expected'!$C$3:$CP$3&lt;=$D11)*(WEEKDAY('Daily Expected'!$C$3:$CP$3,2)&lt;6)*('Daily Expected'!$C$4:$CP$12&gt;0)*('Daily Expected'!$C$4:$CP$12&lt;'Assignment Calc'!$B$1-0.0001))</f>
        <v>6</v>
      </c>
      <c r="P11" s="20" t="n">
        <f aca="false">SUMPRODUCT(('Daily Expected'!$A$4:$A$12=$A11)*('Daily Expected'!$C$3:$CP$3&gt;=$C11)*('Daily Expected'!$C$3:$CP$3&lt;=$D11)*(WEEKDAY('Daily Expected'!$C$3:$CP$3,2)&lt;6)*('Daily Expected'!$C$4:$CP$12=0))</f>
        <v>5</v>
      </c>
    </row>
    <row r="12" customFormat="false" ht="15" hidden="false" customHeight="true" outlineLevel="0" collapsed="false">
      <c r="A12" s="20" t="s">
        <v>117</v>
      </c>
      <c r="B12" s="20" t="s">
        <v>512</v>
      </c>
      <c r="C12" s="22" t="n">
        <v>46357</v>
      </c>
      <c r="D12" s="22" t="n">
        <v>46387</v>
      </c>
      <c r="E12" s="20" t="n">
        <f aca="false">NETWORKDAYS(C12,D12)</f>
        <v>23</v>
      </c>
      <c r="F12" s="23" t="n">
        <f aca="false">SUMPRODUCT(('Daily Expected'!$A$4:$A$12=$A12)*('Daily Expected'!$C$3:$CP$3&gt;=$C12)*('Daily Expected'!$C$3:$CP$3&lt;=$D12)*'Daily Expected'!$C$4:$CP$12)</f>
        <v>151.5</v>
      </c>
      <c r="G12" s="23" t="n">
        <f aca="false">F12/'Assignment Calc'!$B$1</f>
        <v>16.8333333333333</v>
      </c>
      <c r="H12" s="23" t="n">
        <f aca="false">IF($A12="Unassigned",0,E12*'Assignment Calc'!$B$1)</f>
        <v>207</v>
      </c>
      <c r="I12" s="27" t="n">
        <f aca="false">IF(H12=0,0,F12/H12)</f>
        <v>0.731884057971015</v>
      </c>
      <c r="J12" s="20" t="str">
        <f aca="false">IF($A12="Unassigned",IF(F12&gt;0,"Unassigned hours","-"),IF(F12=0,"Unallocated",IF(F12&gt;H12+0.0001,"Over-allocated",IF(ABS(F12-H12)&lt;0.0001,"Optimally allocated","Under-allocated"))))</f>
        <v>Under-allocated</v>
      </c>
      <c r="K12" s="23" t="n">
        <f aca="false">SUMPRODUCT(('Daily Closed-Cancelled'!$A$4:$A$12=$A12)*('Daily Closed-Cancelled'!$C$3:$CP$3&gt;=$C12)*('Daily Closed-Cancelled'!$C$3:$CP$3&lt;=$D12)*'Daily Closed-Cancelled'!$C$4:$CP$12)</f>
        <v>0</v>
      </c>
      <c r="L12" s="23" t="n">
        <f aca="false">F12-K12</f>
        <v>151.5</v>
      </c>
      <c r="M12" s="20" t="n">
        <f aca="false">SUMPRODUCT(('Daily Expected'!$A$4:$A$12=$A12)*('Daily Expected'!$C$3:$CP$3&gt;=$C12)*('Daily Expected'!$C$3:$CP$3&lt;=$D12)*(WEEKDAY('Daily Expected'!$C$3:$CP$3,2)&lt;6)*('Daily Expected'!$C$4:$CP$12&gt;'Assignment Calc'!$B$1+0.0001))</f>
        <v>5</v>
      </c>
      <c r="N12" s="20" t="n">
        <f aca="false">SUMPRODUCT(('Daily Expected'!$A$4:$A$12=$A12)*('Daily Expected'!$C$3:$CP$3&gt;=$C12)*('Daily Expected'!$C$3:$CP$3&lt;=$D12)*(WEEKDAY('Daily Expected'!$C$3:$CP$3,2)&lt;6)*(ABS('Daily Expected'!$C$4:$CP$12-'Assignment Calc'!$B$1)&lt;0.0001))</f>
        <v>5</v>
      </c>
      <c r="O12" s="20" t="n">
        <f aca="false">SUMPRODUCT(('Daily Expected'!$A$4:$A$12=$A12)*('Daily Expected'!$C$3:$CP$3&gt;=$C12)*('Daily Expected'!$C$3:$CP$3&lt;=$D12)*(WEEKDAY('Daily Expected'!$C$3:$CP$3,2)&lt;6)*('Daily Expected'!$C$4:$CP$12&gt;0)*('Daily Expected'!$C$4:$CP$12&lt;'Assignment Calc'!$B$1-0.0001))</f>
        <v>9</v>
      </c>
      <c r="P12" s="20" t="n">
        <f aca="false">SUMPRODUCT(('Daily Expected'!$A$4:$A$12=$A12)*('Daily Expected'!$C$3:$CP$3&gt;=$C12)*('Daily Expected'!$C$3:$CP$3&lt;=$D12)*(WEEKDAY('Daily Expected'!$C$3:$CP$3,2)&lt;6)*('Daily Expected'!$C$4:$CP$12=0))</f>
        <v>4</v>
      </c>
    </row>
    <row r="13" customFormat="false" ht="15" hidden="false" customHeight="true" outlineLevel="0" collapsed="false">
      <c r="A13" s="2" t="s">
        <v>117</v>
      </c>
      <c r="B13" s="2" t="s">
        <v>710</v>
      </c>
      <c r="C13" s="29" t="n">
        <v>46296</v>
      </c>
      <c r="D13" s="29" t="n">
        <v>46387</v>
      </c>
      <c r="E13" s="2" t="n">
        <f aca="false">NETWORKDAYS(C13,D13)</f>
        <v>66</v>
      </c>
      <c r="F13" s="30" t="n">
        <f aca="false">SUMPRODUCT(('Daily Expected'!$A$4:$A$12=$A13)*('Daily Expected'!$C$3:$CP$3&gt;=$C13)*('Daily Expected'!$C$3:$CP$3&lt;=$D13)*'Daily Expected'!$C$4:$CP$12)</f>
        <v>498.75</v>
      </c>
      <c r="G13" s="30" t="n">
        <f aca="false">F13/'Assignment Calc'!$B$1</f>
        <v>55.4166666666667</v>
      </c>
      <c r="H13" s="30" t="n">
        <f aca="false">IF($A13="Unassigned",0,E13*'Assignment Calc'!$B$1)</f>
        <v>594</v>
      </c>
      <c r="I13" s="31" t="n">
        <f aca="false">IF(H13=0,0,F13/H13)</f>
        <v>0.839646464646465</v>
      </c>
      <c r="J13" s="2" t="str">
        <f aca="false">IF($A13="Unassigned",IF(F13&gt;0,"Unassigned hours","-"),IF(F13=0,"Unallocated",IF(F13&gt;H13+0.0001,"Over-allocated",IF(ABS(F13-H13)&lt;0.0001,"Optimally allocated","Under-allocated"))))</f>
        <v>Under-allocated</v>
      </c>
      <c r="K13" s="30" t="n">
        <f aca="false">SUMPRODUCT(('Daily Closed-Cancelled'!$A$4:$A$12=$A13)*('Daily Closed-Cancelled'!$C$3:$CP$3&gt;=$C13)*('Daily Closed-Cancelled'!$C$3:$CP$3&lt;=$D13)*'Daily Closed-Cancelled'!$C$4:$CP$12)</f>
        <v>60.75</v>
      </c>
      <c r="L13" s="30" t="n">
        <f aca="false">F13-K13</f>
        <v>438</v>
      </c>
      <c r="M13" s="2" t="n">
        <f aca="false">SUMPRODUCT(('Daily Expected'!$A$4:$A$12=$A13)*('Daily Expected'!$C$3:$CP$3&gt;=$C13)*('Daily Expected'!$C$3:$CP$3&lt;=$D13)*(WEEKDAY('Daily Expected'!$C$3:$CP$3,2)&lt;6)*('Daily Expected'!$C$4:$CP$12&gt;'Assignment Calc'!$B$1+0.0001))</f>
        <v>20</v>
      </c>
      <c r="N13" s="2" t="n">
        <f aca="false">SUMPRODUCT(('Daily Expected'!$A$4:$A$12=$A13)*('Daily Expected'!$C$3:$CP$3&gt;=$C13)*('Daily Expected'!$C$3:$CP$3&lt;=$D13)*(WEEKDAY('Daily Expected'!$C$3:$CP$3,2)&lt;6)*(ABS('Daily Expected'!$C$4:$CP$12-'Assignment Calc'!$B$1)&lt;0.0001))</f>
        <v>10</v>
      </c>
      <c r="O13" s="2" t="n">
        <f aca="false">SUMPRODUCT(('Daily Expected'!$A$4:$A$12=$A13)*('Daily Expected'!$C$3:$CP$3&gt;=$C13)*('Daily Expected'!$C$3:$CP$3&lt;=$D13)*(WEEKDAY('Daily Expected'!$C$3:$CP$3,2)&lt;6)*('Daily Expected'!$C$4:$CP$12&gt;0)*('Daily Expected'!$C$4:$CP$12&lt;'Assignment Calc'!$B$1-0.0001))</f>
        <v>27</v>
      </c>
      <c r="P13" s="2" t="n">
        <f aca="false">SUMPRODUCT(('Daily Expected'!$A$4:$A$12=$A13)*('Daily Expected'!$C$3:$CP$3&gt;=$C13)*('Daily Expected'!$C$3:$CP$3&lt;=$D13)*(WEEKDAY('Daily Expected'!$C$3:$CP$3,2)&lt;6)*('Daily Expected'!$C$4:$CP$12=0))</f>
        <v>9</v>
      </c>
    </row>
    <row r="14" customFormat="false" ht="15" hidden="false" customHeight="true" outlineLevel="0" collapsed="false">
      <c r="A14" s="20" t="s">
        <v>262</v>
      </c>
      <c r="B14" s="20" t="s">
        <v>501</v>
      </c>
      <c r="C14" s="22" t="n">
        <v>46296</v>
      </c>
      <c r="D14" s="22" t="n">
        <v>46326</v>
      </c>
      <c r="E14" s="20" t="n">
        <f aca="false">NETWORKDAYS(C14,D14)</f>
        <v>22</v>
      </c>
      <c r="F14" s="23" t="n">
        <f aca="false">SUMPRODUCT(('Daily Expected'!$A$4:$A$12=$A14)*('Daily Expected'!$C$3:$CP$3&gt;=$C14)*('Daily Expected'!$C$3:$CP$3&lt;=$D14)*'Daily Expected'!$C$4:$CP$12)</f>
        <v>135</v>
      </c>
      <c r="G14" s="23" t="n">
        <f aca="false">F14/'Assignment Calc'!$B$1</f>
        <v>15</v>
      </c>
      <c r="H14" s="23" t="n">
        <f aca="false">IF($A14="Unassigned",0,E14*'Assignment Calc'!$B$1)</f>
        <v>198</v>
      </c>
      <c r="I14" s="27" t="n">
        <f aca="false">IF(H14=0,0,F14/H14)</f>
        <v>0.681818181818182</v>
      </c>
      <c r="J14" s="20" t="str">
        <f aca="false">IF($A14="Unassigned",IF(F14&gt;0,"Unassigned hours","-"),IF(F14=0,"Unallocated",IF(F14&gt;H14+0.0001,"Over-allocated",IF(ABS(F14-H14)&lt;0.0001,"Optimally allocated","Under-allocated"))))</f>
        <v>Under-allocated</v>
      </c>
      <c r="K14" s="23" t="n">
        <f aca="false">SUMPRODUCT(('Daily Closed-Cancelled'!$A$4:$A$12=$A14)*('Daily Closed-Cancelled'!$C$3:$CP$3&gt;=$C14)*('Daily Closed-Cancelled'!$C$3:$CP$3&lt;=$D14)*'Daily Closed-Cancelled'!$C$4:$CP$12)</f>
        <v>67.5</v>
      </c>
      <c r="L14" s="23" t="n">
        <f aca="false">F14-K14</f>
        <v>67.5</v>
      </c>
      <c r="M14" s="20" t="n">
        <f aca="false">SUMPRODUCT(('Daily Expected'!$A$4:$A$12=$A14)*('Daily Expected'!$C$3:$CP$3&gt;=$C14)*('Daily Expected'!$C$3:$CP$3&lt;=$D14)*(WEEKDAY('Daily Expected'!$C$3:$CP$3,2)&lt;6)*('Daily Expected'!$C$4:$CP$12&gt;'Assignment Calc'!$B$1+0.0001))</f>
        <v>5</v>
      </c>
      <c r="N14" s="20" t="n">
        <f aca="false">SUMPRODUCT(('Daily Expected'!$A$4:$A$12=$A14)*('Daily Expected'!$C$3:$CP$3&gt;=$C14)*('Daily Expected'!$C$3:$CP$3&lt;=$D14)*(WEEKDAY('Daily Expected'!$C$3:$CP$3,2)&lt;6)*(ABS('Daily Expected'!$C$4:$CP$12-'Assignment Calc'!$B$1)&lt;0.0001))</f>
        <v>5</v>
      </c>
      <c r="O14" s="20" t="n">
        <f aca="false">SUMPRODUCT(('Daily Expected'!$A$4:$A$12=$A14)*('Daily Expected'!$C$3:$CP$3&gt;=$C14)*('Daily Expected'!$C$3:$CP$3&lt;=$D14)*(WEEKDAY('Daily Expected'!$C$3:$CP$3,2)&lt;6)*('Daily Expected'!$C$4:$CP$12&gt;0)*('Daily Expected'!$C$4:$CP$12&lt;'Assignment Calc'!$B$1-0.0001))</f>
        <v>5</v>
      </c>
      <c r="P14" s="20" t="n">
        <f aca="false">SUMPRODUCT(('Daily Expected'!$A$4:$A$12=$A14)*('Daily Expected'!$C$3:$CP$3&gt;=$C14)*('Daily Expected'!$C$3:$CP$3&lt;=$D14)*(WEEKDAY('Daily Expected'!$C$3:$CP$3,2)&lt;6)*('Daily Expected'!$C$4:$CP$12=0))</f>
        <v>7</v>
      </c>
    </row>
    <row r="15" customFormat="false" ht="15" hidden="false" customHeight="true" outlineLevel="0" collapsed="false">
      <c r="A15" s="20" t="s">
        <v>262</v>
      </c>
      <c r="B15" s="20" t="s">
        <v>508</v>
      </c>
      <c r="C15" s="22" t="n">
        <v>46327</v>
      </c>
      <c r="D15" s="22" t="n">
        <v>46356</v>
      </c>
      <c r="E15" s="20" t="n">
        <f aca="false">NETWORKDAYS(C15,D15)</f>
        <v>21</v>
      </c>
      <c r="F15" s="23" t="n">
        <f aca="false">SUMPRODUCT(('Daily Expected'!$A$4:$A$12=$A15)*('Daily Expected'!$C$3:$CP$3&gt;=$C15)*('Daily Expected'!$C$3:$CP$3&lt;=$D15)*'Daily Expected'!$C$4:$CP$12)</f>
        <v>169.5</v>
      </c>
      <c r="G15" s="23" t="n">
        <f aca="false">F15/'Assignment Calc'!$B$1</f>
        <v>18.8333333333333</v>
      </c>
      <c r="H15" s="23" t="n">
        <f aca="false">IF($A15="Unassigned",0,E15*'Assignment Calc'!$B$1)</f>
        <v>189</v>
      </c>
      <c r="I15" s="27" t="n">
        <f aca="false">IF(H15=0,0,F15/H15)</f>
        <v>0.896825396825397</v>
      </c>
      <c r="J15" s="20" t="str">
        <f aca="false">IF($A15="Unassigned",IF(F15&gt;0,"Unassigned hours","-"),IF(F15=0,"Unallocated",IF(F15&gt;H15+0.0001,"Over-allocated",IF(ABS(F15-H15)&lt;0.0001,"Optimally allocated","Under-allocated"))))</f>
        <v>Under-allocated</v>
      </c>
      <c r="K15" s="23" t="n">
        <f aca="false">SUMPRODUCT(('Daily Closed-Cancelled'!$A$4:$A$12=$A15)*('Daily Closed-Cancelled'!$C$3:$CP$3&gt;=$C15)*('Daily Closed-Cancelled'!$C$3:$CP$3&lt;=$D15)*'Daily Closed-Cancelled'!$C$4:$CP$12)</f>
        <v>4.5</v>
      </c>
      <c r="L15" s="23" t="n">
        <f aca="false">F15-K15</f>
        <v>165</v>
      </c>
      <c r="M15" s="20" t="n">
        <f aca="false">SUMPRODUCT(('Daily Expected'!$A$4:$A$12=$A15)*('Daily Expected'!$C$3:$CP$3&gt;=$C15)*('Daily Expected'!$C$3:$CP$3&lt;=$D15)*(WEEKDAY('Daily Expected'!$C$3:$CP$3,2)&lt;6)*('Daily Expected'!$C$4:$CP$12&gt;'Assignment Calc'!$B$1+0.0001))</f>
        <v>5</v>
      </c>
      <c r="N15" s="20" t="n">
        <f aca="false">SUMPRODUCT(('Daily Expected'!$A$4:$A$12=$A15)*('Daily Expected'!$C$3:$CP$3&gt;=$C15)*('Daily Expected'!$C$3:$CP$3&lt;=$D15)*(WEEKDAY('Daily Expected'!$C$3:$CP$3,2)&lt;6)*(ABS('Daily Expected'!$C$4:$CP$12-'Assignment Calc'!$B$1)&lt;0.0001))</f>
        <v>5</v>
      </c>
      <c r="O15" s="20" t="n">
        <f aca="false">SUMPRODUCT(('Daily Expected'!$A$4:$A$12=$A15)*('Daily Expected'!$C$3:$CP$3&gt;=$C15)*('Daily Expected'!$C$3:$CP$3&lt;=$D15)*(WEEKDAY('Daily Expected'!$C$3:$CP$3,2)&lt;6)*('Daily Expected'!$C$4:$CP$12&gt;0)*('Daily Expected'!$C$4:$CP$12&lt;'Assignment Calc'!$B$1-0.0001))</f>
        <v>6</v>
      </c>
      <c r="P15" s="20" t="n">
        <f aca="false">SUMPRODUCT(('Daily Expected'!$A$4:$A$12=$A15)*('Daily Expected'!$C$3:$CP$3&gt;=$C15)*('Daily Expected'!$C$3:$CP$3&lt;=$D15)*(WEEKDAY('Daily Expected'!$C$3:$CP$3,2)&lt;6)*('Daily Expected'!$C$4:$CP$12=0))</f>
        <v>5</v>
      </c>
    </row>
    <row r="16" customFormat="false" ht="15" hidden="false" customHeight="true" outlineLevel="0" collapsed="false">
      <c r="A16" s="20" t="s">
        <v>262</v>
      </c>
      <c r="B16" s="20" t="s">
        <v>512</v>
      </c>
      <c r="C16" s="22" t="n">
        <v>46357</v>
      </c>
      <c r="D16" s="22" t="n">
        <v>46387</v>
      </c>
      <c r="E16" s="20" t="n">
        <f aca="false">NETWORKDAYS(C16,D16)</f>
        <v>23</v>
      </c>
      <c r="F16" s="23" t="n">
        <f aca="false">SUMPRODUCT(('Daily Expected'!$A$4:$A$12=$A16)*('Daily Expected'!$C$3:$CP$3&gt;=$C16)*('Daily Expected'!$C$3:$CP$3&lt;=$D16)*'Daily Expected'!$C$4:$CP$12)</f>
        <v>110.25</v>
      </c>
      <c r="G16" s="23" t="n">
        <f aca="false">F16/'Assignment Calc'!$B$1</f>
        <v>12.25</v>
      </c>
      <c r="H16" s="23" t="n">
        <f aca="false">IF($A16="Unassigned",0,E16*'Assignment Calc'!$B$1)</f>
        <v>207</v>
      </c>
      <c r="I16" s="27" t="n">
        <f aca="false">IF(H16=0,0,F16/H16)</f>
        <v>0.532608695652174</v>
      </c>
      <c r="J16" s="20" t="str">
        <f aca="false">IF($A16="Unassigned",IF(F16&gt;0,"Unassigned hours","-"),IF(F16=0,"Unallocated",IF(F16&gt;H16+0.0001,"Over-allocated",IF(ABS(F16-H16)&lt;0.0001,"Optimally allocated","Under-allocated"))))</f>
        <v>Under-allocated</v>
      </c>
      <c r="K16" s="23" t="n">
        <f aca="false">SUMPRODUCT(('Daily Closed-Cancelled'!$A$4:$A$12=$A16)*('Daily Closed-Cancelled'!$C$3:$CP$3&gt;=$C16)*('Daily Closed-Cancelled'!$C$3:$CP$3&lt;=$D16)*'Daily Closed-Cancelled'!$C$4:$CP$12)</f>
        <v>65.25</v>
      </c>
      <c r="L16" s="23" t="n">
        <f aca="false">F16-K16</f>
        <v>45</v>
      </c>
      <c r="M16" s="20" t="n">
        <f aca="false">SUMPRODUCT(('Daily Expected'!$A$4:$A$12=$A16)*('Daily Expected'!$C$3:$CP$3&gt;=$C16)*('Daily Expected'!$C$3:$CP$3&lt;=$D16)*(WEEKDAY('Daily Expected'!$C$3:$CP$3,2)&lt;6)*('Daily Expected'!$C$4:$CP$12&gt;'Assignment Calc'!$B$1+0.0001))</f>
        <v>4</v>
      </c>
      <c r="N16" s="20" t="n">
        <f aca="false">SUMPRODUCT(('Daily Expected'!$A$4:$A$12=$A16)*('Daily Expected'!$C$3:$CP$3&gt;=$C16)*('Daily Expected'!$C$3:$CP$3&lt;=$D16)*(WEEKDAY('Daily Expected'!$C$3:$CP$3,2)&lt;6)*(ABS('Daily Expected'!$C$4:$CP$12-'Assignment Calc'!$B$1)&lt;0.0001))</f>
        <v>5</v>
      </c>
      <c r="O16" s="20" t="n">
        <f aca="false">SUMPRODUCT(('Daily Expected'!$A$4:$A$12=$A16)*('Daily Expected'!$C$3:$CP$3&gt;=$C16)*('Daily Expected'!$C$3:$CP$3&lt;=$D16)*(WEEKDAY('Daily Expected'!$C$3:$CP$3,2)&lt;6)*('Daily Expected'!$C$4:$CP$12&gt;0)*('Daily Expected'!$C$4:$CP$12&lt;'Assignment Calc'!$B$1-0.0001))</f>
        <v>5</v>
      </c>
      <c r="P16" s="20" t="n">
        <f aca="false">SUMPRODUCT(('Daily Expected'!$A$4:$A$12=$A16)*('Daily Expected'!$C$3:$CP$3&gt;=$C16)*('Daily Expected'!$C$3:$CP$3&lt;=$D16)*(WEEKDAY('Daily Expected'!$C$3:$CP$3,2)&lt;6)*('Daily Expected'!$C$4:$CP$12=0))</f>
        <v>9</v>
      </c>
    </row>
    <row r="17" customFormat="false" ht="15" hidden="false" customHeight="true" outlineLevel="0" collapsed="false">
      <c r="A17" s="2" t="s">
        <v>262</v>
      </c>
      <c r="B17" s="2" t="s">
        <v>710</v>
      </c>
      <c r="C17" s="29" t="n">
        <v>46296</v>
      </c>
      <c r="D17" s="29" t="n">
        <v>46387</v>
      </c>
      <c r="E17" s="2" t="n">
        <f aca="false">NETWORKDAYS(C17,D17)</f>
        <v>66</v>
      </c>
      <c r="F17" s="30" t="n">
        <f aca="false">SUMPRODUCT(('Daily Expected'!$A$4:$A$12=$A17)*('Daily Expected'!$C$3:$CP$3&gt;=$C17)*('Daily Expected'!$C$3:$CP$3&lt;=$D17)*'Daily Expected'!$C$4:$CP$12)</f>
        <v>414.75</v>
      </c>
      <c r="G17" s="30" t="n">
        <f aca="false">F17/'Assignment Calc'!$B$1</f>
        <v>46.0833333333333</v>
      </c>
      <c r="H17" s="30" t="n">
        <f aca="false">IF($A17="Unassigned",0,E17*'Assignment Calc'!$B$1)</f>
        <v>594</v>
      </c>
      <c r="I17" s="31" t="n">
        <f aca="false">IF(H17=0,0,F17/H17)</f>
        <v>0.698232323232323</v>
      </c>
      <c r="J17" s="2" t="str">
        <f aca="false">IF($A17="Unassigned",IF(F17&gt;0,"Unassigned hours","-"),IF(F17=0,"Unallocated",IF(F17&gt;H17+0.0001,"Over-allocated",IF(ABS(F17-H17)&lt;0.0001,"Optimally allocated","Under-allocated"))))</f>
        <v>Under-allocated</v>
      </c>
      <c r="K17" s="30" t="n">
        <f aca="false">SUMPRODUCT(('Daily Closed-Cancelled'!$A$4:$A$12=$A17)*('Daily Closed-Cancelled'!$C$3:$CP$3&gt;=$C17)*('Daily Closed-Cancelled'!$C$3:$CP$3&lt;=$D17)*'Daily Closed-Cancelled'!$C$4:$CP$12)</f>
        <v>137.25</v>
      </c>
      <c r="L17" s="30" t="n">
        <f aca="false">F17-K17</f>
        <v>277.5</v>
      </c>
      <c r="M17" s="2" t="n">
        <f aca="false">SUMPRODUCT(('Daily Expected'!$A$4:$A$12=$A17)*('Daily Expected'!$C$3:$CP$3&gt;=$C17)*('Daily Expected'!$C$3:$CP$3&lt;=$D17)*(WEEKDAY('Daily Expected'!$C$3:$CP$3,2)&lt;6)*('Daily Expected'!$C$4:$CP$12&gt;'Assignment Calc'!$B$1+0.0001))</f>
        <v>14</v>
      </c>
      <c r="N17" s="2" t="n">
        <f aca="false">SUMPRODUCT(('Daily Expected'!$A$4:$A$12=$A17)*('Daily Expected'!$C$3:$CP$3&gt;=$C17)*('Daily Expected'!$C$3:$CP$3&lt;=$D17)*(WEEKDAY('Daily Expected'!$C$3:$CP$3,2)&lt;6)*(ABS('Daily Expected'!$C$4:$CP$12-'Assignment Calc'!$B$1)&lt;0.0001))</f>
        <v>15</v>
      </c>
      <c r="O17" s="2" t="n">
        <f aca="false">SUMPRODUCT(('Daily Expected'!$A$4:$A$12=$A17)*('Daily Expected'!$C$3:$CP$3&gt;=$C17)*('Daily Expected'!$C$3:$CP$3&lt;=$D17)*(WEEKDAY('Daily Expected'!$C$3:$CP$3,2)&lt;6)*('Daily Expected'!$C$4:$CP$12&gt;0)*('Daily Expected'!$C$4:$CP$12&lt;'Assignment Calc'!$B$1-0.0001))</f>
        <v>16</v>
      </c>
      <c r="P17" s="2" t="n">
        <f aca="false">SUMPRODUCT(('Daily Expected'!$A$4:$A$12=$A17)*('Daily Expected'!$C$3:$CP$3&gt;=$C17)*('Daily Expected'!$C$3:$CP$3&lt;=$D17)*(WEEKDAY('Daily Expected'!$C$3:$CP$3,2)&lt;6)*('Daily Expected'!$C$4:$CP$12=0))</f>
        <v>21</v>
      </c>
    </row>
    <row r="18" customFormat="false" ht="15" hidden="false" customHeight="true" outlineLevel="0" collapsed="false">
      <c r="A18" s="20" t="s">
        <v>298</v>
      </c>
      <c r="B18" s="20" t="s">
        <v>501</v>
      </c>
      <c r="C18" s="22" t="n">
        <v>46296</v>
      </c>
      <c r="D18" s="22" t="n">
        <v>46326</v>
      </c>
      <c r="E18" s="20" t="n">
        <f aca="false">NETWORKDAYS(C18,D18)</f>
        <v>22</v>
      </c>
      <c r="F18" s="23" t="n">
        <f aca="false">SUMPRODUCT(('Daily Expected'!$A$4:$A$12=$A18)*('Daily Expected'!$C$3:$CP$3&gt;=$C18)*('Daily Expected'!$C$3:$CP$3&lt;=$D18)*'Daily Expected'!$C$4:$CP$12)</f>
        <v>120</v>
      </c>
      <c r="G18" s="23" t="n">
        <f aca="false">F18/'Assignment Calc'!$B$1</f>
        <v>13.3333333333333</v>
      </c>
      <c r="H18" s="23" t="n">
        <f aca="false">IF($A18="Unassigned",0,E18*'Assignment Calc'!$B$1)</f>
        <v>198</v>
      </c>
      <c r="I18" s="27" t="n">
        <f aca="false">IF(H18=0,0,F18/H18)</f>
        <v>0.606060606060606</v>
      </c>
      <c r="J18" s="20" t="str">
        <f aca="false">IF($A18="Unassigned",IF(F18&gt;0,"Unassigned hours","-"),IF(F18=0,"Unallocated",IF(F18&gt;H18+0.0001,"Over-allocated",IF(ABS(F18-H18)&lt;0.0001,"Optimally allocated","Under-allocated"))))</f>
        <v>Under-allocated</v>
      </c>
      <c r="K18" s="23" t="n">
        <f aca="false">SUMPRODUCT(('Daily Closed-Cancelled'!$A$4:$A$12=$A18)*('Daily Closed-Cancelled'!$C$3:$CP$3&gt;=$C18)*('Daily Closed-Cancelled'!$C$3:$CP$3&lt;=$D18)*'Daily Closed-Cancelled'!$C$4:$CP$12)</f>
        <v>0</v>
      </c>
      <c r="L18" s="23" t="n">
        <f aca="false">F18-K18</f>
        <v>120</v>
      </c>
      <c r="M18" s="20" t="n">
        <f aca="false">SUMPRODUCT(('Daily Expected'!$A$4:$A$12=$A18)*('Daily Expected'!$C$3:$CP$3&gt;=$C18)*('Daily Expected'!$C$3:$CP$3&lt;=$D18)*(WEEKDAY('Daily Expected'!$C$3:$CP$3,2)&lt;6)*('Daily Expected'!$C$4:$CP$12&gt;'Assignment Calc'!$B$1+0.0001))</f>
        <v>5</v>
      </c>
      <c r="N18" s="20" t="n">
        <f aca="false">SUMPRODUCT(('Daily Expected'!$A$4:$A$12=$A18)*('Daily Expected'!$C$3:$CP$3&gt;=$C18)*('Daily Expected'!$C$3:$CP$3&lt;=$D18)*(WEEKDAY('Daily Expected'!$C$3:$CP$3,2)&lt;6)*(ABS('Daily Expected'!$C$4:$CP$12-'Assignment Calc'!$B$1)&lt;0.0001))</f>
        <v>5</v>
      </c>
      <c r="O18" s="20" t="n">
        <f aca="false">SUMPRODUCT(('Daily Expected'!$A$4:$A$12=$A18)*('Daily Expected'!$C$3:$CP$3&gt;=$C18)*('Daily Expected'!$C$3:$CP$3&lt;=$D18)*(WEEKDAY('Daily Expected'!$C$3:$CP$3,2)&lt;6)*('Daily Expected'!$C$4:$CP$12&gt;0)*('Daily Expected'!$C$4:$CP$12&lt;'Assignment Calc'!$B$1-0.0001))</f>
        <v>5</v>
      </c>
      <c r="P18" s="20" t="n">
        <f aca="false">SUMPRODUCT(('Daily Expected'!$A$4:$A$12=$A18)*('Daily Expected'!$C$3:$CP$3&gt;=$C18)*('Daily Expected'!$C$3:$CP$3&lt;=$D18)*(WEEKDAY('Daily Expected'!$C$3:$CP$3,2)&lt;6)*('Daily Expected'!$C$4:$CP$12=0))</f>
        <v>7</v>
      </c>
    </row>
    <row r="19" customFormat="false" ht="15" hidden="false" customHeight="true" outlineLevel="0" collapsed="false">
      <c r="A19" s="20" t="s">
        <v>298</v>
      </c>
      <c r="B19" s="20" t="s">
        <v>508</v>
      </c>
      <c r="C19" s="22" t="n">
        <v>46327</v>
      </c>
      <c r="D19" s="22" t="n">
        <v>46356</v>
      </c>
      <c r="E19" s="20" t="n">
        <f aca="false">NETWORKDAYS(C19,D19)</f>
        <v>21</v>
      </c>
      <c r="F19" s="23" t="n">
        <f aca="false">SUMPRODUCT(('Daily Expected'!$A$4:$A$12=$A19)*('Daily Expected'!$C$3:$CP$3&gt;=$C19)*('Daily Expected'!$C$3:$CP$3&lt;=$D19)*'Daily Expected'!$C$4:$CP$12)</f>
        <v>144</v>
      </c>
      <c r="G19" s="23" t="n">
        <f aca="false">F19/'Assignment Calc'!$B$1</f>
        <v>16</v>
      </c>
      <c r="H19" s="23" t="n">
        <f aca="false">IF($A19="Unassigned",0,E19*'Assignment Calc'!$B$1)</f>
        <v>189</v>
      </c>
      <c r="I19" s="27" t="n">
        <f aca="false">IF(H19=0,0,F19/H19)</f>
        <v>0.761904761904762</v>
      </c>
      <c r="J19" s="20" t="str">
        <f aca="false">IF($A19="Unassigned",IF(F19&gt;0,"Unassigned hours","-"),IF(F19=0,"Unallocated",IF(F19&gt;H19+0.0001,"Over-allocated",IF(ABS(F19-H19)&lt;0.0001,"Optimally allocated","Under-allocated"))))</f>
        <v>Under-allocated</v>
      </c>
      <c r="K19" s="23" t="n">
        <f aca="false">SUMPRODUCT(('Daily Closed-Cancelled'!$A$4:$A$12=$A19)*('Daily Closed-Cancelled'!$C$3:$CP$3&gt;=$C19)*('Daily Closed-Cancelled'!$C$3:$CP$3&lt;=$D19)*'Daily Closed-Cancelled'!$C$4:$CP$12)</f>
        <v>25</v>
      </c>
      <c r="L19" s="23" t="n">
        <f aca="false">F19-K19</f>
        <v>119</v>
      </c>
      <c r="M19" s="20" t="n">
        <f aca="false">SUMPRODUCT(('Daily Expected'!$A$4:$A$12=$A19)*('Daily Expected'!$C$3:$CP$3&gt;=$C19)*('Daily Expected'!$C$3:$CP$3&lt;=$D19)*(WEEKDAY('Daily Expected'!$C$3:$CP$3,2)&lt;6)*('Daily Expected'!$C$4:$CP$12&gt;'Assignment Calc'!$B$1+0.0001))</f>
        <v>5</v>
      </c>
      <c r="N19" s="20" t="n">
        <f aca="false">SUMPRODUCT(('Daily Expected'!$A$4:$A$12=$A19)*('Daily Expected'!$C$3:$CP$3&gt;=$C19)*('Daily Expected'!$C$3:$CP$3&lt;=$D19)*(WEEKDAY('Daily Expected'!$C$3:$CP$3,2)&lt;6)*(ABS('Daily Expected'!$C$4:$CP$12-'Assignment Calc'!$B$1)&lt;0.0001))</f>
        <v>6</v>
      </c>
      <c r="O19" s="20" t="n">
        <f aca="false">SUMPRODUCT(('Daily Expected'!$A$4:$A$12=$A19)*('Daily Expected'!$C$3:$CP$3&gt;=$C19)*('Daily Expected'!$C$3:$CP$3&lt;=$D19)*(WEEKDAY('Daily Expected'!$C$3:$CP$3,2)&lt;6)*('Daily Expected'!$C$4:$CP$12&gt;0)*('Daily Expected'!$C$4:$CP$12&lt;'Assignment Calc'!$B$1-0.0001))</f>
        <v>5</v>
      </c>
      <c r="P19" s="20" t="n">
        <f aca="false">SUMPRODUCT(('Daily Expected'!$A$4:$A$12=$A19)*('Daily Expected'!$C$3:$CP$3&gt;=$C19)*('Daily Expected'!$C$3:$CP$3&lt;=$D19)*(WEEKDAY('Daily Expected'!$C$3:$CP$3,2)&lt;6)*('Daily Expected'!$C$4:$CP$12=0))</f>
        <v>5</v>
      </c>
    </row>
    <row r="20" customFormat="false" ht="15" hidden="false" customHeight="true" outlineLevel="0" collapsed="false">
      <c r="A20" s="20" t="s">
        <v>298</v>
      </c>
      <c r="B20" s="20" t="s">
        <v>512</v>
      </c>
      <c r="C20" s="22" t="n">
        <v>46357</v>
      </c>
      <c r="D20" s="22" t="n">
        <v>46387</v>
      </c>
      <c r="E20" s="20" t="n">
        <f aca="false">NETWORKDAYS(C20,D20)</f>
        <v>23</v>
      </c>
      <c r="F20" s="23" t="n">
        <f aca="false">SUMPRODUCT(('Daily Expected'!$A$4:$A$12=$A20)*('Daily Expected'!$C$3:$CP$3&gt;=$C20)*('Daily Expected'!$C$3:$CP$3&lt;=$D20)*'Daily Expected'!$C$4:$CP$12)</f>
        <v>147</v>
      </c>
      <c r="G20" s="23" t="n">
        <f aca="false">F20/'Assignment Calc'!$B$1</f>
        <v>16.3333333333333</v>
      </c>
      <c r="H20" s="23" t="n">
        <f aca="false">IF($A20="Unassigned",0,E20*'Assignment Calc'!$B$1)</f>
        <v>207</v>
      </c>
      <c r="I20" s="27" t="n">
        <f aca="false">IF(H20=0,0,F20/H20)</f>
        <v>0.710144927536232</v>
      </c>
      <c r="J20" s="20" t="str">
        <f aca="false">IF($A20="Unassigned",IF(F20&gt;0,"Unassigned hours","-"),IF(F20=0,"Unallocated",IF(F20&gt;H20+0.0001,"Over-allocated",IF(ABS(F20-H20)&lt;0.0001,"Optimally allocated","Under-allocated"))))</f>
        <v>Under-allocated</v>
      </c>
      <c r="K20" s="23" t="n">
        <f aca="false">SUMPRODUCT(('Daily Closed-Cancelled'!$A$4:$A$12=$A20)*('Daily Closed-Cancelled'!$C$3:$CP$3&gt;=$C20)*('Daily Closed-Cancelled'!$C$3:$CP$3&lt;=$D20)*'Daily Closed-Cancelled'!$C$4:$CP$12)</f>
        <v>0</v>
      </c>
      <c r="L20" s="23" t="n">
        <f aca="false">F20-K20</f>
        <v>147</v>
      </c>
      <c r="M20" s="20" t="n">
        <f aca="false">SUMPRODUCT(('Daily Expected'!$A$4:$A$12=$A20)*('Daily Expected'!$C$3:$CP$3&gt;=$C20)*('Daily Expected'!$C$3:$CP$3&lt;=$D20)*(WEEKDAY('Daily Expected'!$C$3:$CP$3,2)&lt;6)*('Daily Expected'!$C$4:$CP$12&gt;'Assignment Calc'!$B$1+0.0001))</f>
        <v>5</v>
      </c>
      <c r="N20" s="20" t="n">
        <f aca="false">SUMPRODUCT(('Daily Expected'!$A$4:$A$12=$A20)*('Daily Expected'!$C$3:$CP$3&gt;=$C20)*('Daily Expected'!$C$3:$CP$3&lt;=$D20)*(WEEKDAY('Daily Expected'!$C$3:$CP$3,2)&lt;6)*(ABS('Daily Expected'!$C$4:$CP$12-'Assignment Calc'!$B$1)&lt;0.0001))</f>
        <v>8</v>
      </c>
      <c r="O20" s="20" t="n">
        <f aca="false">SUMPRODUCT(('Daily Expected'!$A$4:$A$12=$A20)*('Daily Expected'!$C$3:$CP$3&gt;=$C20)*('Daily Expected'!$C$3:$CP$3&lt;=$D20)*(WEEKDAY('Daily Expected'!$C$3:$CP$3,2)&lt;6)*('Daily Expected'!$C$4:$CP$12&gt;0)*('Daily Expected'!$C$4:$CP$12&lt;'Assignment Calc'!$B$1-0.0001))</f>
        <v>5</v>
      </c>
      <c r="P20" s="20" t="n">
        <f aca="false">SUMPRODUCT(('Daily Expected'!$A$4:$A$12=$A20)*('Daily Expected'!$C$3:$CP$3&gt;=$C20)*('Daily Expected'!$C$3:$CP$3&lt;=$D20)*(WEEKDAY('Daily Expected'!$C$3:$CP$3,2)&lt;6)*('Daily Expected'!$C$4:$CP$12=0))</f>
        <v>5</v>
      </c>
    </row>
    <row r="21" customFormat="false" ht="15" hidden="false" customHeight="true" outlineLevel="0" collapsed="false">
      <c r="A21" s="2" t="s">
        <v>298</v>
      </c>
      <c r="B21" s="2" t="s">
        <v>710</v>
      </c>
      <c r="C21" s="29" t="n">
        <v>46296</v>
      </c>
      <c r="D21" s="29" t="n">
        <v>46387</v>
      </c>
      <c r="E21" s="2" t="n">
        <f aca="false">NETWORKDAYS(C21,D21)</f>
        <v>66</v>
      </c>
      <c r="F21" s="30" t="n">
        <f aca="false">SUMPRODUCT(('Daily Expected'!$A$4:$A$12=$A21)*('Daily Expected'!$C$3:$CP$3&gt;=$C21)*('Daily Expected'!$C$3:$CP$3&lt;=$D21)*'Daily Expected'!$C$4:$CP$12)</f>
        <v>411</v>
      </c>
      <c r="G21" s="30" t="n">
        <f aca="false">F21/'Assignment Calc'!$B$1</f>
        <v>45.6666666666667</v>
      </c>
      <c r="H21" s="30" t="n">
        <f aca="false">IF($A21="Unassigned",0,E21*'Assignment Calc'!$B$1)</f>
        <v>594</v>
      </c>
      <c r="I21" s="31" t="n">
        <f aca="false">IF(H21=0,0,F21/H21)</f>
        <v>0.691919191919192</v>
      </c>
      <c r="J21" s="2" t="str">
        <f aca="false">IF($A21="Unassigned",IF(F21&gt;0,"Unassigned hours","-"),IF(F21=0,"Unallocated",IF(F21&gt;H21+0.0001,"Over-allocated",IF(ABS(F21-H21)&lt;0.0001,"Optimally allocated","Under-allocated"))))</f>
        <v>Under-allocated</v>
      </c>
      <c r="K21" s="30" t="n">
        <f aca="false">SUMPRODUCT(('Daily Closed-Cancelled'!$A$4:$A$12=$A21)*('Daily Closed-Cancelled'!$C$3:$CP$3&gt;=$C21)*('Daily Closed-Cancelled'!$C$3:$CP$3&lt;=$D21)*'Daily Closed-Cancelled'!$C$4:$CP$12)</f>
        <v>25</v>
      </c>
      <c r="L21" s="30" t="n">
        <f aca="false">F21-K21</f>
        <v>386</v>
      </c>
      <c r="M21" s="2" t="n">
        <f aca="false">SUMPRODUCT(('Daily Expected'!$A$4:$A$12=$A21)*('Daily Expected'!$C$3:$CP$3&gt;=$C21)*('Daily Expected'!$C$3:$CP$3&lt;=$D21)*(WEEKDAY('Daily Expected'!$C$3:$CP$3,2)&lt;6)*('Daily Expected'!$C$4:$CP$12&gt;'Assignment Calc'!$B$1+0.0001))</f>
        <v>15</v>
      </c>
      <c r="N21" s="2" t="n">
        <f aca="false">SUMPRODUCT(('Daily Expected'!$A$4:$A$12=$A21)*('Daily Expected'!$C$3:$CP$3&gt;=$C21)*('Daily Expected'!$C$3:$CP$3&lt;=$D21)*(WEEKDAY('Daily Expected'!$C$3:$CP$3,2)&lt;6)*(ABS('Daily Expected'!$C$4:$CP$12-'Assignment Calc'!$B$1)&lt;0.0001))</f>
        <v>19</v>
      </c>
      <c r="O21" s="2" t="n">
        <f aca="false">SUMPRODUCT(('Daily Expected'!$A$4:$A$12=$A21)*('Daily Expected'!$C$3:$CP$3&gt;=$C21)*('Daily Expected'!$C$3:$CP$3&lt;=$D21)*(WEEKDAY('Daily Expected'!$C$3:$CP$3,2)&lt;6)*('Daily Expected'!$C$4:$CP$12&gt;0)*('Daily Expected'!$C$4:$CP$12&lt;'Assignment Calc'!$B$1-0.0001))</f>
        <v>15</v>
      </c>
      <c r="P21" s="2" t="n">
        <f aca="false">SUMPRODUCT(('Daily Expected'!$A$4:$A$12=$A21)*('Daily Expected'!$C$3:$CP$3&gt;=$C21)*('Daily Expected'!$C$3:$CP$3&lt;=$D21)*(WEEKDAY('Daily Expected'!$C$3:$CP$3,2)&lt;6)*('Daily Expected'!$C$4:$CP$12=0))</f>
        <v>17</v>
      </c>
    </row>
    <row r="22" customFormat="false" ht="15" hidden="false" customHeight="true" outlineLevel="0" collapsed="false">
      <c r="A22" s="20" t="s">
        <v>333</v>
      </c>
      <c r="B22" s="20" t="s">
        <v>501</v>
      </c>
      <c r="C22" s="22" t="n">
        <v>46296</v>
      </c>
      <c r="D22" s="22" t="n">
        <v>46326</v>
      </c>
      <c r="E22" s="20" t="n">
        <f aca="false">NETWORKDAYS(C22,D22)</f>
        <v>22</v>
      </c>
      <c r="F22" s="23" t="n">
        <f aca="false">SUMPRODUCT(('Daily Expected'!$A$4:$A$12=$A22)*('Daily Expected'!$C$3:$CP$3&gt;=$C22)*('Daily Expected'!$C$3:$CP$3&lt;=$D22)*'Daily Expected'!$C$4:$CP$12)</f>
        <v>132.75</v>
      </c>
      <c r="G22" s="23" t="n">
        <f aca="false">F22/'Assignment Calc'!$B$1</f>
        <v>14.75</v>
      </c>
      <c r="H22" s="23" t="n">
        <f aca="false">IF($A22="Unassigned",0,E22*'Assignment Calc'!$B$1)</f>
        <v>198</v>
      </c>
      <c r="I22" s="27" t="n">
        <f aca="false">IF(H22=0,0,F22/H22)</f>
        <v>0.670454545454545</v>
      </c>
      <c r="J22" s="20" t="str">
        <f aca="false">IF($A22="Unassigned",IF(F22&gt;0,"Unassigned hours","-"),IF(F22=0,"Unallocated",IF(F22&gt;H22+0.0001,"Over-allocated",IF(ABS(F22-H22)&lt;0.0001,"Optimally allocated","Under-allocated"))))</f>
        <v>Under-allocated</v>
      </c>
      <c r="K22" s="23" t="n">
        <f aca="false">SUMPRODUCT(('Daily Closed-Cancelled'!$A$4:$A$12=$A22)*('Daily Closed-Cancelled'!$C$3:$CP$3&gt;=$C22)*('Daily Closed-Cancelled'!$C$3:$CP$3&lt;=$D22)*'Daily Closed-Cancelled'!$C$4:$CP$12)</f>
        <v>78.75</v>
      </c>
      <c r="L22" s="23" t="n">
        <f aca="false">F22-K22</f>
        <v>54</v>
      </c>
      <c r="M22" s="20" t="n">
        <f aca="false">SUMPRODUCT(('Daily Expected'!$A$4:$A$12=$A22)*('Daily Expected'!$C$3:$CP$3&gt;=$C22)*('Daily Expected'!$C$3:$CP$3&lt;=$D22)*(WEEKDAY('Daily Expected'!$C$3:$CP$3,2)&lt;6)*('Daily Expected'!$C$4:$CP$12&gt;'Assignment Calc'!$B$1+0.0001))</f>
        <v>5</v>
      </c>
      <c r="N22" s="20" t="n">
        <f aca="false">SUMPRODUCT(('Daily Expected'!$A$4:$A$12=$A22)*('Daily Expected'!$C$3:$CP$3&gt;=$C22)*('Daily Expected'!$C$3:$CP$3&lt;=$D22)*(WEEKDAY('Daily Expected'!$C$3:$CP$3,2)&lt;6)*(ABS('Daily Expected'!$C$4:$CP$12-'Assignment Calc'!$B$1)&lt;0.0001))</f>
        <v>6</v>
      </c>
      <c r="O22" s="20" t="n">
        <f aca="false">SUMPRODUCT(('Daily Expected'!$A$4:$A$12=$A22)*('Daily Expected'!$C$3:$CP$3&gt;=$C22)*('Daily Expected'!$C$3:$CP$3&lt;=$D22)*(WEEKDAY('Daily Expected'!$C$3:$CP$3,2)&lt;6)*('Daily Expected'!$C$4:$CP$12&gt;0)*('Daily Expected'!$C$4:$CP$12&lt;'Assignment Calc'!$B$1-0.0001))</f>
        <v>5</v>
      </c>
      <c r="P22" s="20" t="n">
        <f aca="false">SUMPRODUCT(('Daily Expected'!$A$4:$A$12=$A22)*('Daily Expected'!$C$3:$CP$3&gt;=$C22)*('Daily Expected'!$C$3:$CP$3&lt;=$D22)*(WEEKDAY('Daily Expected'!$C$3:$CP$3,2)&lt;6)*('Daily Expected'!$C$4:$CP$12=0))</f>
        <v>6</v>
      </c>
    </row>
    <row r="23" customFormat="false" ht="15" hidden="false" customHeight="true" outlineLevel="0" collapsed="false">
      <c r="A23" s="20" t="s">
        <v>333</v>
      </c>
      <c r="B23" s="20" t="s">
        <v>508</v>
      </c>
      <c r="C23" s="22" t="n">
        <v>46327</v>
      </c>
      <c r="D23" s="22" t="n">
        <v>46356</v>
      </c>
      <c r="E23" s="20" t="n">
        <f aca="false">NETWORKDAYS(C23,D23)</f>
        <v>21</v>
      </c>
      <c r="F23" s="23" t="n">
        <f aca="false">SUMPRODUCT(('Daily Expected'!$A$4:$A$12=$A23)*('Daily Expected'!$C$3:$CP$3&gt;=$C23)*('Daily Expected'!$C$3:$CP$3&lt;=$D23)*'Daily Expected'!$C$4:$CP$12)</f>
        <v>120</v>
      </c>
      <c r="G23" s="23" t="n">
        <f aca="false">F23/'Assignment Calc'!$B$1</f>
        <v>13.3333333333333</v>
      </c>
      <c r="H23" s="23" t="n">
        <f aca="false">IF($A23="Unassigned",0,E23*'Assignment Calc'!$B$1)</f>
        <v>189</v>
      </c>
      <c r="I23" s="27" t="n">
        <f aca="false">IF(H23=0,0,F23/H23)</f>
        <v>0.634920634920635</v>
      </c>
      <c r="J23" s="20" t="str">
        <f aca="false">IF($A23="Unassigned",IF(F23&gt;0,"Unassigned hours","-"),IF(F23=0,"Unallocated",IF(F23&gt;H23+0.0001,"Over-allocated",IF(ABS(F23-H23)&lt;0.0001,"Optimally allocated","Under-allocated"))))</f>
        <v>Under-allocated</v>
      </c>
      <c r="K23" s="23" t="n">
        <f aca="false">SUMPRODUCT(('Daily Closed-Cancelled'!$A$4:$A$12=$A23)*('Daily Closed-Cancelled'!$C$3:$CP$3&gt;=$C23)*('Daily Closed-Cancelled'!$C$3:$CP$3&lt;=$D23)*'Daily Closed-Cancelled'!$C$4:$CP$12)</f>
        <v>0</v>
      </c>
      <c r="L23" s="23" t="n">
        <f aca="false">F23-K23</f>
        <v>120</v>
      </c>
      <c r="M23" s="20" t="n">
        <f aca="false">SUMPRODUCT(('Daily Expected'!$A$4:$A$12=$A23)*('Daily Expected'!$C$3:$CP$3&gt;=$C23)*('Daily Expected'!$C$3:$CP$3&lt;=$D23)*(WEEKDAY('Daily Expected'!$C$3:$CP$3,2)&lt;6)*('Daily Expected'!$C$4:$CP$12&gt;'Assignment Calc'!$B$1+0.0001))</f>
        <v>5</v>
      </c>
      <c r="N23" s="20" t="n">
        <f aca="false">SUMPRODUCT(('Daily Expected'!$A$4:$A$12=$A23)*('Daily Expected'!$C$3:$CP$3&gt;=$C23)*('Daily Expected'!$C$3:$CP$3&lt;=$D23)*(WEEKDAY('Daily Expected'!$C$3:$CP$3,2)&lt;6)*(ABS('Daily Expected'!$C$4:$CP$12-'Assignment Calc'!$B$1)&lt;0.0001))</f>
        <v>5</v>
      </c>
      <c r="O23" s="20" t="n">
        <f aca="false">SUMPRODUCT(('Daily Expected'!$A$4:$A$12=$A23)*('Daily Expected'!$C$3:$CP$3&gt;=$C23)*('Daily Expected'!$C$3:$CP$3&lt;=$D23)*(WEEKDAY('Daily Expected'!$C$3:$CP$3,2)&lt;6)*('Daily Expected'!$C$4:$CP$12&gt;0)*('Daily Expected'!$C$4:$CP$12&lt;'Assignment Calc'!$B$1-0.0001))</f>
        <v>5</v>
      </c>
      <c r="P23" s="20" t="n">
        <f aca="false">SUMPRODUCT(('Daily Expected'!$A$4:$A$12=$A23)*('Daily Expected'!$C$3:$CP$3&gt;=$C23)*('Daily Expected'!$C$3:$CP$3&lt;=$D23)*(WEEKDAY('Daily Expected'!$C$3:$CP$3,2)&lt;6)*('Daily Expected'!$C$4:$CP$12=0))</f>
        <v>6</v>
      </c>
    </row>
    <row r="24" customFormat="false" ht="15" hidden="false" customHeight="true" outlineLevel="0" collapsed="false">
      <c r="A24" s="20" t="s">
        <v>333</v>
      </c>
      <c r="B24" s="20" t="s">
        <v>512</v>
      </c>
      <c r="C24" s="22" t="n">
        <v>46357</v>
      </c>
      <c r="D24" s="22" t="n">
        <v>46387</v>
      </c>
      <c r="E24" s="20" t="n">
        <f aca="false">NETWORKDAYS(C24,D24)</f>
        <v>23</v>
      </c>
      <c r="F24" s="23" t="n">
        <f aca="false">SUMPRODUCT(('Daily Expected'!$A$4:$A$12=$A24)*('Daily Expected'!$C$3:$CP$3&gt;=$C24)*('Daily Expected'!$C$3:$CP$3&lt;=$D24)*'Daily Expected'!$C$4:$CP$12)</f>
        <v>150.5</v>
      </c>
      <c r="G24" s="23" t="n">
        <f aca="false">F24/'Assignment Calc'!$B$1</f>
        <v>16.7222222222222</v>
      </c>
      <c r="H24" s="23" t="n">
        <f aca="false">IF($A24="Unassigned",0,E24*'Assignment Calc'!$B$1)</f>
        <v>207</v>
      </c>
      <c r="I24" s="27" t="n">
        <f aca="false">IF(H24=0,0,F24/H24)</f>
        <v>0.727053140096618</v>
      </c>
      <c r="J24" s="20" t="str">
        <f aca="false">IF($A24="Unassigned",IF(F24&gt;0,"Unassigned hours","-"),IF(F24=0,"Unallocated",IF(F24&gt;H24+0.0001,"Over-allocated",IF(ABS(F24-H24)&lt;0.0001,"Optimally allocated","Under-allocated"))))</f>
        <v>Under-allocated</v>
      </c>
      <c r="K24" s="23" t="n">
        <f aca="false">SUMPRODUCT(('Daily Closed-Cancelled'!$A$4:$A$12=$A24)*('Daily Closed-Cancelled'!$C$3:$CP$3&gt;=$C24)*('Daily Closed-Cancelled'!$C$3:$CP$3&lt;=$D24)*'Daily Closed-Cancelled'!$C$4:$CP$12)</f>
        <v>91.5</v>
      </c>
      <c r="L24" s="23" t="n">
        <f aca="false">F24-K24</f>
        <v>59</v>
      </c>
      <c r="M24" s="20" t="n">
        <f aca="false">SUMPRODUCT(('Daily Expected'!$A$4:$A$12=$A24)*('Daily Expected'!$C$3:$CP$3&gt;=$C24)*('Daily Expected'!$C$3:$CP$3&lt;=$D24)*(WEEKDAY('Daily Expected'!$C$3:$CP$3,2)&lt;6)*('Daily Expected'!$C$4:$CP$12&gt;'Assignment Calc'!$B$1+0.0001))</f>
        <v>5</v>
      </c>
      <c r="N24" s="20" t="n">
        <f aca="false">SUMPRODUCT(('Daily Expected'!$A$4:$A$12=$A24)*('Daily Expected'!$C$3:$CP$3&gt;=$C24)*('Daily Expected'!$C$3:$CP$3&lt;=$D24)*(WEEKDAY('Daily Expected'!$C$3:$CP$3,2)&lt;6)*(ABS('Daily Expected'!$C$4:$CP$12-'Assignment Calc'!$B$1)&lt;0.0001))</f>
        <v>5</v>
      </c>
      <c r="O24" s="20" t="n">
        <f aca="false">SUMPRODUCT(('Daily Expected'!$A$4:$A$12=$A24)*('Daily Expected'!$C$3:$CP$3&gt;=$C24)*('Daily Expected'!$C$3:$CP$3&lt;=$D24)*(WEEKDAY('Daily Expected'!$C$3:$CP$3,2)&lt;6)*('Daily Expected'!$C$4:$CP$12&gt;0)*('Daily Expected'!$C$4:$CP$12&lt;'Assignment Calc'!$B$1-0.0001))</f>
        <v>8</v>
      </c>
      <c r="P24" s="20" t="n">
        <f aca="false">SUMPRODUCT(('Daily Expected'!$A$4:$A$12=$A24)*('Daily Expected'!$C$3:$CP$3&gt;=$C24)*('Daily Expected'!$C$3:$CP$3&lt;=$D24)*(WEEKDAY('Daily Expected'!$C$3:$CP$3,2)&lt;6)*('Daily Expected'!$C$4:$CP$12=0))</f>
        <v>5</v>
      </c>
    </row>
    <row r="25" customFormat="false" ht="15" hidden="false" customHeight="true" outlineLevel="0" collapsed="false">
      <c r="A25" s="2" t="s">
        <v>333</v>
      </c>
      <c r="B25" s="2" t="s">
        <v>710</v>
      </c>
      <c r="C25" s="29" t="n">
        <v>46296</v>
      </c>
      <c r="D25" s="29" t="n">
        <v>46387</v>
      </c>
      <c r="E25" s="2" t="n">
        <f aca="false">NETWORKDAYS(C25,D25)</f>
        <v>66</v>
      </c>
      <c r="F25" s="30" t="n">
        <f aca="false">SUMPRODUCT(('Daily Expected'!$A$4:$A$12=$A25)*('Daily Expected'!$C$3:$CP$3&gt;=$C25)*('Daily Expected'!$C$3:$CP$3&lt;=$D25)*'Daily Expected'!$C$4:$CP$12)</f>
        <v>403.25</v>
      </c>
      <c r="G25" s="30" t="n">
        <f aca="false">F25/'Assignment Calc'!$B$1</f>
        <v>44.8055555555556</v>
      </c>
      <c r="H25" s="30" t="n">
        <f aca="false">IF($A25="Unassigned",0,E25*'Assignment Calc'!$B$1)</f>
        <v>594</v>
      </c>
      <c r="I25" s="31" t="n">
        <f aca="false">IF(H25=0,0,F25/H25)</f>
        <v>0.678872053872054</v>
      </c>
      <c r="J25" s="2" t="str">
        <f aca="false">IF($A25="Unassigned",IF(F25&gt;0,"Unassigned hours","-"),IF(F25=0,"Unallocated",IF(F25&gt;H25+0.0001,"Over-allocated",IF(ABS(F25-H25)&lt;0.0001,"Optimally allocated","Under-allocated"))))</f>
        <v>Under-allocated</v>
      </c>
      <c r="K25" s="30" t="n">
        <f aca="false">SUMPRODUCT(('Daily Closed-Cancelled'!$A$4:$A$12=$A25)*('Daily Closed-Cancelled'!$C$3:$CP$3&gt;=$C25)*('Daily Closed-Cancelled'!$C$3:$CP$3&lt;=$D25)*'Daily Closed-Cancelled'!$C$4:$CP$12)</f>
        <v>170.25</v>
      </c>
      <c r="L25" s="30" t="n">
        <f aca="false">F25-K25</f>
        <v>233</v>
      </c>
      <c r="M25" s="2" t="n">
        <f aca="false">SUMPRODUCT(('Daily Expected'!$A$4:$A$12=$A25)*('Daily Expected'!$C$3:$CP$3&gt;=$C25)*('Daily Expected'!$C$3:$CP$3&lt;=$D25)*(WEEKDAY('Daily Expected'!$C$3:$CP$3,2)&lt;6)*('Daily Expected'!$C$4:$CP$12&gt;'Assignment Calc'!$B$1+0.0001))</f>
        <v>15</v>
      </c>
      <c r="N25" s="2" t="n">
        <f aca="false">SUMPRODUCT(('Daily Expected'!$A$4:$A$12=$A25)*('Daily Expected'!$C$3:$CP$3&gt;=$C25)*('Daily Expected'!$C$3:$CP$3&lt;=$D25)*(WEEKDAY('Daily Expected'!$C$3:$CP$3,2)&lt;6)*(ABS('Daily Expected'!$C$4:$CP$12-'Assignment Calc'!$B$1)&lt;0.0001))</f>
        <v>16</v>
      </c>
      <c r="O25" s="2" t="n">
        <f aca="false">SUMPRODUCT(('Daily Expected'!$A$4:$A$12=$A25)*('Daily Expected'!$C$3:$CP$3&gt;=$C25)*('Daily Expected'!$C$3:$CP$3&lt;=$D25)*(WEEKDAY('Daily Expected'!$C$3:$CP$3,2)&lt;6)*('Daily Expected'!$C$4:$CP$12&gt;0)*('Daily Expected'!$C$4:$CP$12&lt;'Assignment Calc'!$B$1-0.0001))</f>
        <v>18</v>
      </c>
      <c r="P25" s="2" t="n">
        <f aca="false">SUMPRODUCT(('Daily Expected'!$A$4:$A$12=$A25)*('Daily Expected'!$C$3:$CP$3&gt;=$C25)*('Daily Expected'!$C$3:$CP$3&lt;=$D25)*(WEEKDAY('Daily Expected'!$C$3:$CP$3,2)&lt;6)*('Daily Expected'!$C$4:$CP$12=0))</f>
        <v>17</v>
      </c>
    </row>
    <row r="26" customFormat="false" ht="15" hidden="false" customHeight="true" outlineLevel="0" collapsed="false">
      <c r="A26" s="20" t="s">
        <v>367</v>
      </c>
      <c r="B26" s="20" t="s">
        <v>501</v>
      </c>
      <c r="C26" s="22" t="n">
        <v>46296</v>
      </c>
      <c r="D26" s="22" t="n">
        <v>46326</v>
      </c>
      <c r="E26" s="20" t="n">
        <f aca="false">NETWORKDAYS(C26,D26)</f>
        <v>22</v>
      </c>
      <c r="F26" s="23" t="n">
        <f aca="false">SUMPRODUCT(('Daily Expected'!$A$4:$A$12=$A26)*('Daily Expected'!$C$3:$CP$3&gt;=$C26)*('Daily Expected'!$C$3:$CP$3&lt;=$D26)*'Daily Expected'!$C$4:$CP$12)</f>
        <v>147</v>
      </c>
      <c r="G26" s="23" t="n">
        <f aca="false">F26/'Assignment Calc'!$B$1</f>
        <v>16.3333333333333</v>
      </c>
      <c r="H26" s="23" t="n">
        <f aca="false">IF($A26="Unassigned",0,E26*'Assignment Calc'!$B$1)</f>
        <v>198</v>
      </c>
      <c r="I26" s="27" t="n">
        <f aca="false">IF(H26=0,0,F26/H26)</f>
        <v>0.742424242424242</v>
      </c>
      <c r="J26" s="20" t="str">
        <f aca="false">IF($A26="Unassigned",IF(F26&gt;0,"Unassigned hours","-"),IF(F26=0,"Unallocated",IF(F26&gt;H26+0.0001,"Over-allocated",IF(ABS(F26-H26)&lt;0.0001,"Optimally allocated","Under-allocated"))))</f>
        <v>Under-allocated</v>
      </c>
      <c r="K26" s="23" t="n">
        <f aca="false">SUMPRODUCT(('Daily Closed-Cancelled'!$A$4:$A$12=$A26)*('Daily Closed-Cancelled'!$C$3:$CP$3&gt;=$C26)*('Daily Closed-Cancelled'!$C$3:$CP$3&lt;=$D26)*'Daily Closed-Cancelled'!$C$4:$CP$12)</f>
        <v>0</v>
      </c>
      <c r="L26" s="23" t="n">
        <f aca="false">F26-K26</f>
        <v>147</v>
      </c>
      <c r="M26" s="20" t="n">
        <f aca="false">SUMPRODUCT(('Daily Expected'!$A$4:$A$12=$A26)*('Daily Expected'!$C$3:$CP$3&gt;=$C26)*('Daily Expected'!$C$3:$CP$3&lt;=$D26)*(WEEKDAY('Daily Expected'!$C$3:$CP$3,2)&lt;6)*('Daily Expected'!$C$4:$CP$12&gt;'Assignment Calc'!$B$1+0.0001))</f>
        <v>7</v>
      </c>
      <c r="N26" s="20" t="n">
        <f aca="false">SUMPRODUCT(('Daily Expected'!$A$4:$A$12=$A26)*('Daily Expected'!$C$3:$CP$3&gt;=$C26)*('Daily Expected'!$C$3:$CP$3&lt;=$D26)*(WEEKDAY('Daily Expected'!$C$3:$CP$3,2)&lt;6)*(ABS('Daily Expected'!$C$4:$CP$12-'Assignment Calc'!$B$1)&lt;0.0001))</f>
        <v>5</v>
      </c>
      <c r="O26" s="20" t="n">
        <f aca="false">SUMPRODUCT(('Daily Expected'!$A$4:$A$12=$A26)*('Daily Expected'!$C$3:$CP$3&gt;=$C26)*('Daily Expected'!$C$3:$CP$3&lt;=$D26)*(WEEKDAY('Daily Expected'!$C$3:$CP$3,2)&lt;6)*('Daily Expected'!$C$4:$CP$12&gt;0)*('Daily Expected'!$C$4:$CP$12&lt;'Assignment Calc'!$B$1-0.0001))</f>
        <v>5</v>
      </c>
      <c r="P26" s="20" t="n">
        <f aca="false">SUMPRODUCT(('Daily Expected'!$A$4:$A$12=$A26)*('Daily Expected'!$C$3:$CP$3&gt;=$C26)*('Daily Expected'!$C$3:$CP$3&lt;=$D26)*(WEEKDAY('Daily Expected'!$C$3:$CP$3,2)&lt;6)*('Daily Expected'!$C$4:$CP$12=0))</f>
        <v>5</v>
      </c>
    </row>
    <row r="27" customFormat="false" ht="15" hidden="false" customHeight="true" outlineLevel="0" collapsed="false">
      <c r="A27" s="20" t="s">
        <v>367</v>
      </c>
      <c r="B27" s="20" t="s">
        <v>508</v>
      </c>
      <c r="C27" s="22" t="n">
        <v>46327</v>
      </c>
      <c r="D27" s="22" t="n">
        <v>46356</v>
      </c>
      <c r="E27" s="20" t="n">
        <f aca="false">NETWORKDAYS(C27,D27)</f>
        <v>21</v>
      </c>
      <c r="F27" s="23" t="n">
        <f aca="false">SUMPRODUCT(('Daily Expected'!$A$4:$A$12=$A27)*('Daily Expected'!$C$3:$CP$3&gt;=$C27)*('Daily Expected'!$C$3:$CP$3&lt;=$D27)*'Daily Expected'!$C$4:$CP$12)</f>
        <v>123.75</v>
      </c>
      <c r="G27" s="23" t="n">
        <f aca="false">F27/'Assignment Calc'!$B$1</f>
        <v>13.75</v>
      </c>
      <c r="H27" s="23" t="n">
        <f aca="false">IF($A27="Unassigned",0,E27*'Assignment Calc'!$B$1)</f>
        <v>189</v>
      </c>
      <c r="I27" s="27" t="n">
        <f aca="false">IF(H27=0,0,F27/H27)</f>
        <v>0.654761904761905</v>
      </c>
      <c r="J27" s="20" t="str">
        <f aca="false">IF($A27="Unassigned",IF(F27&gt;0,"Unassigned hours","-"),IF(F27=0,"Unallocated",IF(F27&gt;H27+0.0001,"Over-allocated",IF(ABS(F27-H27)&lt;0.0001,"Optimally allocated","Under-allocated"))))</f>
        <v>Under-allocated</v>
      </c>
      <c r="K27" s="23" t="n">
        <f aca="false">SUMPRODUCT(('Daily Closed-Cancelled'!$A$4:$A$12=$A27)*('Daily Closed-Cancelled'!$C$3:$CP$3&gt;=$C27)*('Daily Closed-Cancelled'!$C$3:$CP$3&lt;=$D27)*'Daily Closed-Cancelled'!$C$4:$CP$12)</f>
        <v>56.25</v>
      </c>
      <c r="L27" s="23" t="n">
        <f aca="false">F27-K27</f>
        <v>67.5</v>
      </c>
      <c r="M27" s="20" t="n">
        <f aca="false">SUMPRODUCT(('Daily Expected'!$A$4:$A$12=$A27)*('Daily Expected'!$C$3:$CP$3&gt;=$C27)*('Daily Expected'!$C$3:$CP$3&lt;=$D27)*(WEEKDAY('Daily Expected'!$C$3:$CP$3,2)&lt;6)*('Daily Expected'!$C$4:$CP$12&gt;'Assignment Calc'!$B$1+0.0001))</f>
        <v>5</v>
      </c>
      <c r="N27" s="20" t="n">
        <f aca="false">SUMPRODUCT(('Daily Expected'!$A$4:$A$12=$A27)*('Daily Expected'!$C$3:$CP$3&gt;=$C27)*('Daily Expected'!$C$3:$CP$3&lt;=$D27)*(WEEKDAY('Daily Expected'!$C$3:$CP$3,2)&lt;6)*(ABS('Daily Expected'!$C$4:$CP$12-'Assignment Calc'!$B$1)&lt;0.0001))</f>
        <v>5</v>
      </c>
      <c r="O27" s="20" t="n">
        <f aca="false">SUMPRODUCT(('Daily Expected'!$A$4:$A$12=$A27)*('Daily Expected'!$C$3:$CP$3&gt;=$C27)*('Daily Expected'!$C$3:$CP$3&lt;=$D27)*(WEEKDAY('Daily Expected'!$C$3:$CP$3,2)&lt;6)*('Daily Expected'!$C$4:$CP$12&gt;0)*('Daily Expected'!$C$4:$CP$12&lt;'Assignment Calc'!$B$1-0.0001))</f>
        <v>5</v>
      </c>
      <c r="P27" s="20" t="n">
        <f aca="false">SUMPRODUCT(('Daily Expected'!$A$4:$A$12=$A27)*('Daily Expected'!$C$3:$CP$3&gt;=$C27)*('Daily Expected'!$C$3:$CP$3&lt;=$D27)*(WEEKDAY('Daily Expected'!$C$3:$CP$3,2)&lt;6)*('Daily Expected'!$C$4:$CP$12=0))</f>
        <v>6</v>
      </c>
    </row>
    <row r="28" customFormat="false" ht="15" hidden="false" customHeight="true" outlineLevel="0" collapsed="false">
      <c r="A28" s="20" t="s">
        <v>367</v>
      </c>
      <c r="B28" s="20" t="s">
        <v>512</v>
      </c>
      <c r="C28" s="22" t="n">
        <v>46357</v>
      </c>
      <c r="D28" s="22" t="n">
        <v>46387</v>
      </c>
      <c r="E28" s="20" t="n">
        <f aca="false">NETWORKDAYS(C28,D28)</f>
        <v>23</v>
      </c>
      <c r="F28" s="23" t="n">
        <f aca="false">SUMPRODUCT(('Daily Expected'!$A$4:$A$12=$A28)*('Daily Expected'!$C$3:$CP$3&gt;=$C28)*('Daily Expected'!$C$3:$CP$3&lt;=$D28)*'Daily Expected'!$C$4:$CP$12)</f>
        <v>132</v>
      </c>
      <c r="G28" s="23" t="n">
        <f aca="false">F28/'Assignment Calc'!$B$1</f>
        <v>14.6666666666667</v>
      </c>
      <c r="H28" s="23" t="n">
        <f aca="false">IF($A28="Unassigned",0,E28*'Assignment Calc'!$B$1)</f>
        <v>207</v>
      </c>
      <c r="I28" s="27" t="n">
        <f aca="false">IF(H28=0,0,F28/H28)</f>
        <v>0.63768115942029</v>
      </c>
      <c r="J28" s="20" t="str">
        <f aca="false">IF($A28="Unassigned",IF(F28&gt;0,"Unassigned hours","-"),IF(F28=0,"Unallocated",IF(F28&gt;H28+0.0001,"Over-allocated",IF(ABS(F28-H28)&lt;0.0001,"Optimally allocated","Under-allocated"))))</f>
        <v>Under-allocated</v>
      </c>
      <c r="K28" s="23" t="n">
        <f aca="false">SUMPRODUCT(('Daily Closed-Cancelled'!$A$4:$A$12=$A28)*('Daily Closed-Cancelled'!$C$3:$CP$3&gt;=$C28)*('Daily Closed-Cancelled'!$C$3:$CP$3&lt;=$D28)*'Daily Closed-Cancelled'!$C$4:$CP$12)</f>
        <v>12</v>
      </c>
      <c r="L28" s="23" t="n">
        <f aca="false">F28-K28</f>
        <v>120</v>
      </c>
      <c r="M28" s="20" t="n">
        <f aca="false">SUMPRODUCT(('Daily Expected'!$A$4:$A$12=$A28)*('Daily Expected'!$C$3:$CP$3&gt;=$C28)*('Daily Expected'!$C$3:$CP$3&lt;=$D28)*(WEEKDAY('Daily Expected'!$C$3:$CP$3,2)&lt;6)*('Daily Expected'!$C$4:$CP$12&gt;'Assignment Calc'!$B$1+0.0001))</f>
        <v>5</v>
      </c>
      <c r="N28" s="20" t="n">
        <f aca="false">SUMPRODUCT(('Daily Expected'!$A$4:$A$12=$A28)*('Daily Expected'!$C$3:$CP$3&gt;=$C28)*('Daily Expected'!$C$3:$CP$3&lt;=$D28)*(WEEKDAY('Daily Expected'!$C$3:$CP$3,2)&lt;6)*(ABS('Daily Expected'!$C$4:$CP$12-'Assignment Calc'!$B$1)&lt;0.0001))</f>
        <v>5</v>
      </c>
      <c r="O28" s="20" t="n">
        <f aca="false">SUMPRODUCT(('Daily Expected'!$A$4:$A$12=$A28)*('Daily Expected'!$C$3:$CP$3&gt;=$C28)*('Daily Expected'!$C$3:$CP$3&lt;=$D28)*(WEEKDAY('Daily Expected'!$C$3:$CP$3,2)&lt;6)*('Daily Expected'!$C$4:$CP$12&gt;0)*('Daily Expected'!$C$4:$CP$12&lt;'Assignment Calc'!$B$1-0.0001))</f>
        <v>9</v>
      </c>
      <c r="P28" s="20" t="n">
        <f aca="false">SUMPRODUCT(('Daily Expected'!$A$4:$A$12=$A28)*('Daily Expected'!$C$3:$CP$3&gt;=$C28)*('Daily Expected'!$C$3:$CP$3&lt;=$D28)*(WEEKDAY('Daily Expected'!$C$3:$CP$3,2)&lt;6)*('Daily Expected'!$C$4:$CP$12=0))</f>
        <v>4</v>
      </c>
    </row>
    <row r="29" customFormat="false" ht="15" hidden="false" customHeight="true" outlineLevel="0" collapsed="false">
      <c r="A29" s="2" t="s">
        <v>367</v>
      </c>
      <c r="B29" s="2" t="s">
        <v>710</v>
      </c>
      <c r="C29" s="29" t="n">
        <v>46296</v>
      </c>
      <c r="D29" s="29" t="n">
        <v>46387</v>
      </c>
      <c r="E29" s="2" t="n">
        <f aca="false">NETWORKDAYS(C29,D29)</f>
        <v>66</v>
      </c>
      <c r="F29" s="30" t="n">
        <f aca="false">SUMPRODUCT(('Daily Expected'!$A$4:$A$12=$A29)*('Daily Expected'!$C$3:$CP$3&gt;=$C29)*('Daily Expected'!$C$3:$CP$3&lt;=$D29)*'Daily Expected'!$C$4:$CP$12)</f>
        <v>402.75</v>
      </c>
      <c r="G29" s="30" t="n">
        <f aca="false">F29/'Assignment Calc'!$B$1</f>
        <v>44.75</v>
      </c>
      <c r="H29" s="30" t="n">
        <f aca="false">IF($A29="Unassigned",0,E29*'Assignment Calc'!$B$1)</f>
        <v>594</v>
      </c>
      <c r="I29" s="31" t="n">
        <f aca="false">IF(H29=0,0,F29/H29)</f>
        <v>0.678030303030303</v>
      </c>
      <c r="J29" s="2" t="str">
        <f aca="false">IF($A29="Unassigned",IF(F29&gt;0,"Unassigned hours","-"),IF(F29=0,"Unallocated",IF(F29&gt;H29+0.0001,"Over-allocated",IF(ABS(F29-H29)&lt;0.0001,"Optimally allocated","Under-allocated"))))</f>
        <v>Under-allocated</v>
      </c>
      <c r="K29" s="30" t="n">
        <f aca="false">SUMPRODUCT(('Daily Closed-Cancelled'!$A$4:$A$12=$A29)*('Daily Closed-Cancelled'!$C$3:$CP$3&gt;=$C29)*('Daily Closed-Cancelled'!$C$3:$CP$3&lt;=$D29)*'Daily Closed-Cancelled'!$C$4:$CP$12)</f>
        <v>68.25</v>
      </c>
      <c r="L29" s="30" t="n">
        <f aca="false">F29-K29</f>
        <v>334.5</v>
      </c>
      <c r="M29" s="2" t="n">
        <f aca="false">SUMPRODUCT(('Daily Expected'!$A$4:$A$12=$A29)*('Daily Expected'!$C$3:$CP$3&gt;=$C29)*('Daily Expected'!$C$3:$CP$3&lt;=$D29)*(WEEKDAY('Daily Expected'!$C$3:$CP$3,2)&lt;6)*('Daily Expected'!$C$4:$CP$12&gt;'Assignment Calc'!$B$1+0.0001))</f>
        <v>17</v>
      </c>
      <c r="N29" s="2" t="n">
        <f aca="false">SUMPRODUCT(('Daily Expected'!$A$4:$A$12=$A29)*('Daily Expected'!$C$3:$CP$3&gt;=$C29)*('Daily Expected'!$C$3:$CP$3&lt;=$D29)*(WEEKDAY('Daily Expected'!$C$3:$CP$3,2)&lt;6)*(ABS('Daily Expected'!$C$4:$CP$12-'Assignment Calc'!$B$1)&lt;0.0001))</f>
        <v>15</v>
      </c>
      <c r="O29" s="2" t="n">
        <f aca="false">SUMPRODUCT(('Daily Expected'!$A$4:$A$12=$A29)*('Daily Expected'!$C$3:$CP$3&gt;=$C29)*('Daily Expected'!$C$3:$CP$3&lt;=$D29)*(WEEKDAY('Daily Expected'!$C$3:$CP$3,2)&lt;6)*('Daily Expected'!$C$4:$CP$12&gt;0)*('Daily Expected'!$C$4:$CP$12&lt;'Assignment Calc'!$B$1-0.0001))</f>
        <v>19</v>
      </c>
      <c r="P29" s="2" t="n">
        <f aca="false">SUMPRODUCT(('Daily Expected'!$A$4:$A$12=$A29)*('Daily Expected'!$C$3:$CP$3&gt;=$C29)*('Daily Expected'!$C$3:$CP$3&lt;=$D29)*(WEEKDAY('Daily Expected'!$C$3:$CP$3,2)&lt;6)*('Daily Expected'!$C$4:$CP$12=0))</f>
        <v>15</v>
      </c>
    </row>
    <row r="30" customFormat="false" ht="15" hidden="false" customHeight="true" outlineLevel="0" collapsed="false">
      <c r="A30" s="20" t="s">
        <v>397</v>
      </c>
      <c r="B30" s="20" t="s">
        <v>501</v>
      </c>
      <c r="C30" s="22" t="n">
        <v>46296</v>
      </c>
      <c r="D30" s="22" t="n">
        <v>46326</v>
      </c>
      <c r="E30" s="20" t="n">
        <f aca="false">NETWORKDAYS(C30,D30)</f>
        <v>22</v>
      </c>
      <c r="F30" s="23" t="n">
        <f aca="false">SUMPRODUCT(('Daily Expected'!$A$4:$A$12=$A30)*('Daily Expected'!$C$3:$CP$3&gt;=$C30)*('Daily Expected'!$C$3:$CP$3&lt;=$D30)*'Daily Expected'!$C$4:$CP$12)</f>
        <v>140.4</v>
      </c>
      <c r="G30" s="23" t="n">
        <f aca="false">F30/'Assignment Calc'!$B$1</f>
        <v>15.6</v>
      </c>
      <c r="H30" s="23" t="n">
        <f aca="false">IF($A30="Unassigned",0,E30*'Assignment Calc'!$B$1)</f>
        <v>198</v>
      </c>
      <c r="I30" s="27" t="n">
        <f aca="false">IF(H30=0,0,F30/H30)</f>
        <v>0.709090909090909</v>
      </c>
      <c r="J30" s="20" t="str">
        <f aca="false">IF($A30="Unassigned",IF(F30&gt;0,"Unassigned hours","-"),IF(F30=0,"Unallocated",IF(F30&gt;H30+0.0001,"Over-allocated",IF(ABS(F30-H30)&lt;0.0001,"Optimally allocated","Under-allocated"))))</f>
        <v>Under-allocated</v>
      </c>
      <c r="K30" s="23" t="n">
        <f aca="false">SUMPRODUCT(('Daily Closed-Cancelled'!$A$4:$A$12=$A30)*('Daily Closed-Cancelled'!$C$3:$CP$3&gt;=$C30)*('Daily Closed-Cancelled'!$C$3:$CP$3&lt;=$D30)*'Daily Closed-Cancelled'!$C$4:$CP$12)</f>
        <v>67.5</v>
      </c>
      <c r="L30" s="23" t="n">
        <f aca="false">F30-K30</f>
        <v>72.9</v>
      </c>
      <c r="M30" s="20" t="n">
        <f aca="false">SUMPRODUCT(('Daily Expected'!$A$4:$A$12=$A30)*('Daily Expected'!$C$3:$CP$3&gt;=$C30)*('Daily Expected'!$C$3:$CP$3&lt;=$D30)*(WEEKDAY('Daily Expected'!$C$3:$CP$3,2)&lt;6)*('Daily Expected'!$C$4:$CP$12&gt;'Assignment Calc'!$B$1+0.0001))</f>
        <v>5</v>
      </c>
      <c r="N30" s="20" t="n">
        <f aca="false">SUMPRODUCT(('Daily Expected'!$A$4:$A$12=$A30)*('Daily Expected'!$C$3:$CP$3&gt;=$C30)*('Daily Expected'!$C$3:$CP$3&lt;=$D30)*(WEEKDAY('Daily Expected'!$C$3:$CP$3,2)&lt;6)*(ABS('Daily Expected'!$C$4:$CP$12-'Assignment Calc'!$B$1)&lt;0.0001))</f>
        <v>5</v>
      </c>
      <c r="O30" s="20" t="n">
        <f aca="false">SUMPRODUCT(('Daily Expected'!$A$4:$A$12=$A30)*('Daily Expected'!$C$3:$CP$3&gt;=$C30)*('Daily Expected'!$C$3:$CP$3&lt;=$D30)*(WEEKDAY('Daily Expected'!$C$3:$CP$3,2)&lt;6)*('Daily Expected'!$C$4:$CP$12&gt;0)*('Daily Expected'!$C$4:$CP$12&lt;'Assignment Calc'!$B$1-0.0001))</f>
        <v>6</v>
      </c>
      <c r="P30" s="20" t="n">
        <f aca="false">SUMPRODUCT(('Daily Expected'!$A$4:$A$12=$A30)*('Daily Expected'!$C$3:$CP$3&gt;=$C30)*('Daily Expected'!$C$3:$CP$3&lt;=$D30)*(WEEKDAY('Daily Expected'!$C$3:$CP$3,2)&lt;6)*('Daily Expected'!$C$4:$CP$12=0))</f>
        <v>6</v>
      </c>
    </row>
    <row r="31" customFormat="false" ht="15" hidden="false" customHeight="true" outlineLevel="0" collapsed="false">
      <c r="A31" s="20" t="s">
        <v>397</v>
      </c>
      <c r="B31" s="20" t="s">
        <v>508</v>
      </c>
      <c r="C31" s="22" t="n">
        <v>46327</v>
      </c>
      <c r="D31" s="22" t="n">
        <v>46356</v>
      </c>
      <c r="E31" s="20" t="n">
        <f aca="false">NETWORKDAYS(C31,D31)</f>
        <v>21</v>
      </c>
      <c r="F31" s="23" t="n">
        <f aca="false">SUMPRODUCT(('Daily Expected'!$A$4:$A$12=$A31)*('Daily Expected'!$C$3:$CP$3&gt;=$C31)*('Daily Expected'!$C$3:$CP$3&lt;=$D31)*'Daily Expected'!$C$4:$CP$12)</f>
        <v>129</v>
      </c>
      <c r="G31" s="23" t="n">
        <f aca="false">F31/'Assignment Calc'!$B$1</f>
        <v>14.3333333333333</v>
      </c>
      <c r="H31" s="23" t="n">
        <f aca="false">IF($A31="Unassigned",0,E31*'Assignment Calc'!$B$1)</f>
        <v>189</v>
      </c>
      <c r="I31" s="27" t="n">
        <f aca="false">IF(H31=0,0,F31/H31)</f>
        <v>0.682539682539683</v>
      </c>
      <c r="J31" s="20" t="str">
        <f aca="false">IF($A31="Unassigned",IF(F31&gt;0,"Unassigned hours","-"),IF(F31=0,"Unallocated",IF(F31&gt;H31+0.0001,"Over-allocated",IF(ABS(F31-H31)&lt;0.0001,"Optimally allocated","Under-allocated"))))</f>
        <v>Under-allocated</v>
      </c>
      <c r="K31" s="23" t="n">
        <f aca="false">SUMPRODUCT(('Daily Closed-Cancelled'!$A$4:$A$12=$A31)*('Daily Closed-Cancelled'!$C$3:$CP$3&gt;=$C31)*('Daily Closed-Cancelled'!$C$3:$CP$3&lt;=$D31)*'Daily Closed-Cancelled'!$C$4:$CP$12)</f>
        <v>9</v>
      </c>
      <c r="L31" s="23" t="n">
        <f aca="false">F31-K31</f>
        <v>120</v>
      </c>
      <c r="M31" s="20" t="n">
        <f aca="false">SUMPRODUCT(('Daily Expected'!$A$4:$A$12=$A31)*('Daily Expected'!$C$3:$CP$3&gt;=$C31)*('Daily Expected'!$C$3:$CP$3&lt;=$D31)*(WEEKDAY('Daily Expected'!$C$3:$CP$3,2)&lt;6)*('Daily Expected'!$C$4:$CP$12&gt;'Assignment Calc'!$B$1+0.0001))</f>
        <v>5</v>
      </c>
      <c r="N31" s="20" t="n">
        <f aca="false">SUMPRODUCT(('Daily Expected'!$A$4:$A$12=$A31)*('Daily Expected'!$C$3:$CP$3&gt;=$C31)*('Daily Expected'!$C$3:$CP$3&lt;=$D31)*(WEEKDAY('Daily Expected'!$C$3:$CP$3,2)&lt;6)*(ABS('Daily Expected'!$C$4:$CP$12-'Assignment Calc'!$B$1)&lt;0.0001))</f>
        <v>6</v>
      </c>
      <c r="O31" s="20" t="n">
        <f aca="false">SUMPRODUCT(('Daily Expected'!$A$4:$A$12=$A31)*('Daily Expected'!$C$3:$CP$3&gt;=$C31)*('Daily Expected'!$C$3:$CP$3&lt;=$D31)*(WEEKDAY('Daily Expected'!$C$3:$CP$3,2)&lt;6)*('Daily Expected'!$C$4:$CP$12&gt;0)*('Daily Expected'!$C$4:$CP$12&lt;'Assignment Calc'!$B$1-0.0001))</f>
        <v>5</v>
      </c>
      <c r="P31" s="20" t="n">
        <f aca="false">SUMPRODUCT(('Daily Expected'!$A$4:$A$12=$A31)*('Daily Expected'!$C$3:$CP$3&gt;=$C31)*('Daily Expected'!$C$3:$CP$3&lt;=$D31)*(WEEKDAY('Daily Expected'!$C$3:$CP$3,2)&lt;6)*('Daily Expected'!$C$4:$CP$12=0))</f>
        <v>5</v>
      </c>
    </row>
    <row r="32" customFormat="false" ht="15" hidden="false" customHeight="true" outlineLevel="0" collapsed="false">
      <c r="A32" s="20" t="s">
        <v>397</v>
      </c>
      <c r="B32" s="20" t="s">
        <v>512</v>
      </c>
      <c r="C32" s="22" t="n">
        <v>46357</v>
      </c>
      <c r="D32" s="22" t="n">
        <v>46387</v>
      </c>
      <c r="E32" s="20" t="n">
        <f aca="false">NETWORKDAYS(C32,D32)</f>
        <v>23</v>
      </c>
      <c r="F32" s="23" t="n">
        <f aca="false">SUMPRODUCT(('Daily Expected'!$A$4:$A$12=$A32)*('Daily Expected'!$C$3:$CP$3&gt;=$C32)*('Daily Expected'!$C$3:$CP$3&lt;=$D32)*'Daily Expected'!$C$4:$CP$12)</f>
        <v>146.25</v>
      </c>
      <c r="G32" s="23" t="n">
        <f aca="false">F32/'Assignment Calc'!$B$1</f>
        <v>16.25</v>
      </c>
      <c r="H32" s="23" t="n">
        <f aca="false">IF($A32="Unassigned",0,E32*'Assignment Calc'!$B$1)</f>
        <v>207</v>
      </c>
      <c r="I32" s="27" t="n">
        <f aca="false">IF(H32=0,0,F32/H32)</f>
        <v>0.706521739130435</v>
      </c>
      <c r="J32" s="20" t="str">
        <f aca="false">IF($A32="Unassigned",IF(F32&gt;0,"Unassigned hours","-"),IF(F32=0,"Unallocated",IF(F32&gt;H32+0.0001,"Over-allocated",IF(ABS(F32-H32)&lt;0.0001,"Optimally allocated","Under-allocated"))))</f>
        <v>Under-allocated</v>
      </c>
      <c r="K32" s="23" t="n">
        <f aca="false">SUMPRODUCT(('Daily Closed-Cancelled'!$A$4:$A$12=$A32)*('Daily Closed-Cancelled'!$C$3:$CP$3&gt;=$C32)*('Daily Closed-Cancelled'!$C$3:$CP$3&lt;=$D32)*'Daily Closed-Cancelled'!$C$4:$CP$12)</f>
        <v>101.25</v>
      </c>
      <c r="L32" s="23" t="n">
        <f aca="false">F32-K32</f>
        <v>45</v>
      </c>
      <c r="M32" s="20" t="n">
        <f aca="false">SUMPRODUCT(('Daily Expected'!$A$4:$A$12=$A32)*('Daily Expected'!$C$3:$CP$3&gt;=$C32)*('Daily Expected'!$C$3:$CP$3&lt;=$D32)*(WEEKDAY('Daily Expected'!$C$3:$CP$3,2)&lt;6)*('Daily Expected'!$C$4:$CP$12&gt;'Assignment Calc'!$B$1+0.0001))</f>
        <v>4</v>
      </c>
      <c r="N32" s="20" t="n">
        <f aca="false">SUMPRODUCT(('Daily Expected'!$A$4:$A$12=$A32)*('Daily Expected'!$C$3:$CP$3&gt;=$C32)*('Daily Expected'!$C$3:$CP$3&lt;=$D32)*(WEEKDAY('Daily Expected'!$C$3:$CP$3,2)&lt;6)*(ABS('Daily Expected'!$C$4:$CP$12-'Assignment Calc'!$B$1)&lt;0.0001))</f>
        <v>9</v>
      </c>
      <c r="O32" s="20" t="n">
        <f aca="false">SUMPRODUCT(('Daily Expected'!$A$4:$A$12=$A32)*('Daily Expected'!$C$3:$CP$3&gt;=$C32)*('Daily Expected'!$C$3:$CP$3&lt;=$D32)*(WEEKDAY('Daily Expected'!$C$3:$CP$3,2)&lt;6)*('Daily Expected'!$C$4:$CP$12&gt;0)*('Daily Expected'!$C$4:$CP$12&lt;'Assignment Calc'!$B$1-0.0001))</f>
        <v>5</v>
      </c>
      <c r="P32" s="20" t="n">
        <f aca="false">SUMPRODUCT(('Daily Expected'!$A$4:$A$12=$A32)*('Daily Expected'!$C$3:$CP$3&gt;=$C32)*('Daily Expected'!$C$3:$CP$3&lt;=$D32)*(WEEKDAY('Daily Expected'!$C$3:$CP$3,2)&lt;6)*('Daily Expected'!$C$4:$CP$12=0))</f>
        <v>5</v>
      </c>
    </row>
    <row r="33" customFormat="false" ht="15" hidden="false" customHeight="true" outlineLevel="0" collapsed="false">
      <c r="A33" s="2" t="s">
        <v>397</v>
      </c>
      <c r="B33" s="2" t="s">
        <v>710</v>
      </c>
      <c r="C33" s="29" t="n">
        <v>46296</v>
      </c>
      <c r="D33" s="29" t="n">
        <v>46387</v>
      </c>
      <c r="E33" s="2" t="n">
        <f aca="false">NETWORKDAYS(C33,D33)</f>
        <v>66</v>
      </c>
      <c r="F33" s="30" t="n">
        <f aca="false">SUMPRODUCT(('Daily Expected'!$A$4:$A$12=$A33)*('Daily Expected'!$C$3:$CP$3&gt;=$C33)*('Daily Expected'!$C$3:$CP$3&lt;=$D33)*'Daily Expected'!$C$4:$CP$12)</f>
        <v>415.65</v>
      </c>
      <c r="G33" s="30" t="n">
        <f aca="false">F33/'Assignment Calc'!$B$1</f>
        <v>46.1833333333333</v>
      </c>
      <c r="H33" s="30" t="n">
        <f aca="false">IF($A33="Unassigned",0,E33*'Assignment Calc'!$B$1)</f>
        <v>594</v>
      </c>
      <c r="I33" s="31" t="n">
        <f aca="false">IF(H33=0,0,F33/H33)</f>
        <v>0.699747474747475</v>
      </c>
      <c r="J33" s="2" t="str">
        <f aca="false">IF($A33="Unassigned",IF(F33&gt;0,"Unassigned hours","-"),IF(F33=0,"Unallocated",IF(F33&gt;H33+0.0001,"Over-allocated",IF(ABS(F33-H33)&lt;0.0001,"Optimally allocated","Under-allocated"))))</f>
        <v>Under-allocated</v>
      </c>
      <c r="K33" s="30" t="n">
        <f aca="false">SUMPRODUCT(('Daily Closed-Cancelled'!$A$4:$A$12=$A33)*('Daily Closed-Cancelled'!$C$3:$CP$3&gt;=$C33)*('Daily Closed-Cancelled'!$C$3:$CP$3&lt;=$D33)*'Daily Closed-Cancelled'!$C$4:$CP$12)</f>
        <v>177.75</v>
      </c>
      <c r="L33" s="30" t="n">
        <f aca="false">F33-K33</f>
        <v>237.9</v>
      </c>
      <c r="M33" s="2" t="n">
        <f aca="false">SUMPRODUCT(('Daily Expected'!$A$4:$A$12=$A33)*('Daily Expected'!$C$3:$CP$3&gt;=$C33)*('Daily Expected'!$C$3:$CP$3&lt;=$D33)*(WEEKDAY('Daily Expected'!$C$3:$CP$3,2)&lt;6)*('Daily Expected'!$C$4:$CP$12&gt;'Assignment Calc'!$B$1+0.0001))</f>
        <v>14</v>
      </c>
      <c r="N33" s="2" t="n">
        <f aca="false">SUMPRODUCT(('Daily Expected'!$A$4:$A$12=$A33)*('Daily Expected'!$C$3:$CP$3&gt;=$C33)*('Daily Expected'!$C$3:$CP$3&lt;=$D33)*(WEEKDAY('Daily Expected'!$C$3:$CP$3,2)&lt;6)*(ABS('Daily Expected'!$C$4:$CP$12-'Assignment Calc'!$B$1)&lt;0.0001))</f>
        <v>20</v>
      </c>
      <c r="O33" s="2" t="n">
        <f aca="false">SUMPRODUCT(('Daily Expected'!$A$4:$A$12=$A33)*('Daily Expected'!$C$3:$CP$3&gt;=$C33)*('Daily Expected'!$C$3:$CP$3&lt;=$D33)*(WEEKDAY('Daily Expected'!$C$3:$CP$3,2)&lt;6)*('Daily Expected'!$C$4:$CP$12&gt;0)*('Daily Expected'!$C$4:$CP$12&lt;'Assignment Calc'!$B$1-0.0001))</f>
        <v>16</v>
      </c>
      <c r="P33" s="2" t="n">
        <f aca="false">SUMPRODUCT(('Daily Expected'!$A$4:$A$12=$A33)*('Daily Expected'!$C$3:$CP$3&gt;=$C33)*('Daily Expected'!$C$3:$CP$3&lt;=$D33)*(WEEKDAY('Daily Expected'!$C$3:$CP$3,2)&lt;6)*('Daily Expected'!$C$4:$CP$12=0))</f>
        <v>16</v>
      </c>
    </row>
    <row r="34" customFormat="false" ht="15" hidden="false" customHeight="true" outlineLevel="0" collapsed="false">
      <c r="A34" s="20" t="s">
        <v>502</v>
      </c>
      <c r="B34" s="20" t="s">
        <v>501</v>
      </c>
      <c r="C34" s="22" t="n">
        <v>46296</v>
      </c>
      <c r="D34" s="22" t="n">
        <v>46326</v>
      </c>
      <c r="E34" s="20" t="n">
        <f aca="false">NETWORKDAYS(C34,D34)</f>
        <v>22</v>
      </c>
      <c r="F34" s="23" t="n">
        <f aca="false">SUMPRODUCT(('Daily Expected'!$A$4:$A$12=$A34)*('Daily Expected'!$C$3:$CP$3&gt;=$C34)*('Daily Expected'!$C$3:$CP$3&lt;=$D34)*'Daily Expected'!$C$4:$CP$12)</f>
        <v>20</v>
      </c>
      <c r="G34" s="23" t="n">
        <f aca="false">F34/'Assignment Calc'!$B$1</f>
        <v>2.22222222222222</v>
      </c>
      <c r="H34" s="23" t="n">
        <f aca="false">IF($A34="Unassigned",0,E34*'Assignment Calc'!$B$1)</f>
        <v>0</v>
      </c>
      <c r="I34" s="27" t="n">
        <f aca="false">IF(H34=0,0,F34/H34)</f>
        <v>0</v>
      </c>
      <c r="J34" s="20" t="str">
        <f aca="false">IF($A34="Unassigned",IF(F34&gt;0,"Unassigned hours","-"),IF(F34=0,"Unallocated",IF(F34&gt;H34+0.0001,"Over-allocated",IF(ABS(F34-H34)&lt;0.0001,"Optimally allocated","Under-allocated"))))</f>
        <v>Unassigned hours</v>
      </c>
      <c r="K34" s="23" t="n">
        <f aca="false">SUMPRODUCT(('Daily Closed-Cancelled'!$A$4:$A$12=$A34)*('Daily Closed-Cancelled'!$C$3:$CP$3&gt;=$C34)*('Daily Closed-Cancelled'!$C$3:$CP$3&lt;=$D34)*'Daily Closed-Cancelled'!$C$4:$CP$12)</f>
        <v>0</v>
      </c>
      <c r="L34" s="23" t="n">
        <f aca="false">F34-K34</f>
        <v>20</v>
      </c>
      <c r="M34" s="20" t="n">
        <f aca="false">SUMPRODUCT(('Daily Expected'!$A$4:$A$12=$A34)*('Daily Expected'!$C$3:$CP$3&gt;=$C34)*('Daily Expected'!$C$3:$CP$3&lt;=$D34)*(WEEKDAY('Daily Expected'!$C$3:$CP$3,2)&lt;6)*('Daily Expected'!$C$4:$CP$12&gt;'Assignment Calc'!$B$1+0.0001))</f>
        <v>0</v>
      </c>
      <c r="N34" s="20" t="n">
        <f aca="false">SUMPRODUCT(('Daily Expected'!$A$4:$A$12=$A34)*('Daily Expected'!$C$3:$CP$3&gt;=$C34)*('Daily Expected'!$C$3:$CP$3&lt;=$D34)*(WEEKDAY('Daily Expected'!$C$3:$CP$3,2)&lt;6)*(ABS('Daily Expected'!$C$4:$CP$12-'Assignment Calc'!$B$1)&lt;0.0001))</f>
        <v>0</v>
      </c>
      <c r="O34" s="20" t="n">
        <f aca="false">SUMPRODUCT(('Daily Expected'!$A$4:$A$12=$A34)*('Daily Expected'!$C$3:$CP$3&gt;=$C34)*('Daily Expected'!$C$3:$CP$3&lt;=$D34)*(WEEKDAY('Daily Expected'!$C$3:$CP$3,2)&lt;6)*('Daily Expected'!$C$4:$CP$12&gt;0)*('Daily Expected'!$C$4:$CP$12&lt;'Assignment Calc'!$B$1-0.0001))</f>
        <v>5</v>
      </c>
      <c r="P34" s="20" t="n">
        <f aca="false">SUMPRODUCT(('Daily Expected'!$A$4:$A$12=$A34)*('Daily Expected'!$C$3:$CP$3&gt;=$C34)*('Daily Expected'!$C$3:$CP$3&lt;=$D34)*(WEEKDAY('Daily Expected'!$C$3:$CP$3,2)&lt;6)*('Daily Expected'!$C$4:$CP$12=0))</f>
        <v>17</v>
      </c>
    </row>
    <row r="35" customFormat="false" ht="15" hidden="false" customHeight="true" outlineLevel="0" collapsed="false">
      <c r="A35" s="20" t="s">
        <v>502</v>
      </c>
      <c r="B35" s="20" t="s">
        <v>508</v>
      </c>
      <c r="C35" s="22" t="n">
        <v>46327</v>
      </c>
      <c r="D35" s="22" t="n">
        <v>46356</v>
      </c>
      <c r="E35" s="20" t="n">
        <f aca="false">NETWORKDAYS(C35,D35)</f>
        <v>21</v>
      </c>
      <c r="F35" s="23" t="n">
        <f aca="false">SUMPRODUCT(('Daily Expected'!$A$4:$A$12=$A35)*('Daily Expected'!$C$3:$CP$3&gt;=$C35)*('Daily Expected'!$C$3:$CP$3&lt;=$D35)*'Daily Expected'!$C$4:$CP$12)</f>
        <v>0</v>
      </c>
      <c r="G35" s="23" t="n">
        <f aca="false">F35/'Assignment Calc'!$B$1</f>
        <v>0</v>
      </c>
      <c r="H35" s="23" t="n">
        <f aca="false">IF($A35="Unassigned",0,E35*'Assignment Calc'!$B$1)</f>
        <v>0</v>
      </c>
      <c r="I35" s="27" t="n">
        <f aca="false">IF(H35=0,0,F35/H35)</f>
        <v>0</v>
      </c>
      <c r="J35" s="20" t="str">
        <f aca="false">IF($A35="Unassigned",IF(F35&gt;0,"Unassigned hours","-"),IF(F35=0,"Unallocated",IF(F35&gt;H35+0.0001,"Over-allocated",IF(ABS(F35-H35)&lt;0.0001,"Optimally allocated","Under-allocated"))))</f>
        <v>-</v>
      </c>
      <c r="K35" s="23" t="n">
        <f aca="false">SUMPRODUCT(('Daily Closed-Cancelled'!$A$4:$A$12=$A35)*('Daily Closed-Cancelled'!$C$3:$CP$3&gt;=$C35)*('Daily Closed-Cancelled'!$C$3:$CP$3&lt;=$D35)*'Daily Closed-Cancelled'!$C$4:$CP$12)</f>
        <v>0</v>
      </c>
      <c r="L35" s="23" t="n">
        <f aca="false">F35-K35</f>
        <v>0</v>
      </c>
      <c r="M35" s="20" t="n">
        <f aca="false">SUMPRODUCT(('Daily Expected'!$A$4:$A$12=$A35)*('Daily Expected'!$C$3:$CP$3&gt;=$C35)*('Daily Expected'!$C$3:$CP$3&lt;=$D35)*(WEEKDAY('Daily Expected'!$C$3:$CP$3,2)&lt;6)*('Daily Expected'!$C$4:$CP$12&gt;'Assignment Calc'!$B$1+0.0001))</f>
        <v>0</v>
      </c>
      <c r="N35" s="20" t="n">
        <f aca="false">SUMPRODUCT(('Daily Expected'!$A$4:$A$12=$A35)*('Daily Expected'!$C$3:$CP$3&gt;=$C35)*('Daily Expected'!$C$3:$CP$3&lt;=$D35)*(WEEKDAY('Daily Expected'!$C$3:$CP$3,2)&lt;6)*(ABS('Daily Expected'!$C$4:$CP$12-'Assignment Calc'!$B$1)&lt;0.0001))</f>
        <v>0</v>
      </c>
      <c r="O35" s="20" t="n">
        <f aca="false">SUMPRODUCT(('Daily Expected'!$A$4:$A$12=$A35)*('Daily Expected'!$C$3:$CP$3&gt;=$C35)*('Daily Expected'!$C$3:$CP$3&lt;=$D35)*(WEEKDAY('Daily Expected'!$C$3:$CP$3,2)&lt;6)*('Daily Expected'!$C$4:$CP$12&gt;0)*('Daily Expected'!$C$4:$CP$12&lt;'Assignment Calc'!$B$1-0.0001))</f>
        <v>0</v>
      </c>
      <c r="P35" s="20" t="n">
        <f aca="false">SUMPRODUCT(('Daily Expected'!$A$4:$A$12=$A35)*('Daily Expected'!$C$3:$CP$3&gt;=$C35)*('Daily Expected'!$C$3:$CP$3&lt;=$D35)*(WEEKDAY('Daily Expected'!$C$3:$CP$3,2)&lt;6)*('Daily Expected'!$C$4:$CP$12=0))</f>
        <v>21</v>
      </c>
    </row>
    <row r="36" customFormat="false" ht="15" hidden="false" customHeight="true" outlineLevel="0" collapsed="false">
      <c r="A36" s="20" t="s">
        <v>502</v>
      </c>
      <c r="B36" s="20" t="s">
        <v>512</v>
      </c>
      <c r="C36" s="22" t="n">
        <v>46357</v>
      </c>
      <c r="D36" s="22" t="n">
        <v>46387</v>
      </c>
      <c r="E36" s="20" t="n">
        <f aca="false">NETWORKDAYS(C36,D36)</f>
        <v>23</v>
      </c>
      <c r="F36" s="23" t="n">
        <f aca="false">SUMPRODUCT(('Daily Expected'!$A$4:$A$12=$A36)*('Daily Expected'!$C$3:$CP$3&gt;=$C36)*('Daily Expected'!$C$3:$CP$3&lt;=$D36)*'Daily Expected'!$C$4:$CP$12)</f>
        <v>0</v>
      </c>
      <c r="G36" s="23" t="n">
        <f aca="false">F36/'Assignment Calc'!$B$1</f>
        <v>0</v>
      </c>
      <c r="H36" s="23" t="n">
        <f aca="false">IF($A36="Unassigned",0,E36*'Assignment Calc'!$B$1)</f>
        <v>0</v>
      </c>
      <c r="I36" s="27" t="n">
        <f aca="false">IF(H36=0,0,F36/H36)</f>
        <v>0</v>
      </c>
      <c r="J36" s="20" t="str">
        <f aca="false">IF($A36="Unassigned",IF(F36&gt;0,"Unassigned hours","-"),IF(F36=0,"Unallocated",IF(F36&gt;H36+0.0001,"Over-allocated",IF(ABS(F36-H36)&lt;0.0001,"Optimally allocated","Under-allocated"))))</f>
        <v>-</v>
      </c>
      <c r="K36" s="23" t="n">
        <f aca="false">SUMPRODUCT(('Daily Closed-Cancelled'!$A$4:$A$12=$A36)*('Daily Closed-Cancelled'!$C$3:$CP$3&gt;=$C36)*('Daily Closed-Cancelled'!$C$3:$CP$3&lt;=$D36)*'Daily Closed-Cancelled'!$C$4:$CP$12)</f>
        <v>0</v>
      </c>
      <c r="L36" s="23" t="n">
        <f aca="false">F36-K36</f>
        <v>0</v>
      </c>
      <c r="M36" s="20" t="n">
        <f aca="false">SUMPRODUCT(('Daily Expected'!$A$4:$A$12=$A36)*('Daily Expected'!$C$3:$CP$3&gt;=$C36)*('Daily Expected'!$C$3:$CP$3&lt;=$D36)*(WEEKDAY('Daily Expected'!$C$3:$CP$3,2)&lt;6)*('Daily Expected'!$C$4:$CP$12&gt;'Assignment Calc'!$B$1+0.0001))</f>
        <v>0</v>
      </c>
      <c r="N36" s="20" t="n">
        <f aca="false">SUMPRODUCT(('Daily Expected'!$A$4:$A$12=$A36)*('Daily Expected'!$C$3:$CP$3&gt;=$C36)*('Daily Expected'!$C$3:$CP$3&lt;=$D36)*(WEEKDAY('Daily Expected'!$C$3:$CP$3,2)&lt;6)*(ABS('Daily Expected'!$C$4:$CP$12-'Assignment Calc'!$B$1)&lt;0.0001))</f>
        <v>0</v>
      </c>
      <c r="O36" s="20" t="n">
        <f aca="false">SUMPRODUCT(('Daily Expected'!$A$4:$A$12=$A36)*('Daily Expected'!$C$3:$CP$3&gt;=$C36)*('Daily Expected'!$C$3:$CP$3&lt;=$D36)*(WEEKDAY('Daily Expected'!$C$3:$CP$3,2)&lt;6)*('Daily Expected'!$C$4:$CP$12&gt;0)*('Daily Expected'!$C$4:$CP$12&lt;'Assignment Calc'!$B$1-0.0001))</f>
        <v>0</v>
      </c>
      <c r="P36" s="20" t="n">
        <f aca="false">SUMPRODUCT(('Daily Expected'!$A$4:$A$12=$A36)*('Daily Expected'!$C$3:$CP$3&gt;=$C36)*('Daily Expected'!$C$3:$CP$3&lt;=$D36)*(WEEKDAY('Daily Expected'!$C$3:$CP$3,2)&lt;6)*('Daily Expected'!$C$4:$CP$12=0))</f>
        <v>23</v>
      </c>
    </row>
    <row r="37" customFormat="false" ht="15" hidden="false" customHeight="true" outlineLevel="0" collapsed="false">
      <c r="A37" s="2" t="s">
        <v>502</v>
      </c>
      <c r="B37" s="2" t="s">
        <v>710</v>
      </c>
      <c r="C37" s="29" t="n">
        <v>46296</v>
      </c>
      <c r="D37" s="29" t="n">
        <v>46387</v>
      </c>
      <c r="E37" s="2" t="n">
        <f aca="false">NETWORKDAYS(C37,D37)</f>
        <v>66</v>
      </c>
      <c r="F37" s="30" t="n">
        <f aca="false">SUMPRODUCT(('Daily Expected'!$A$4:$A$12=$A37)*('Daily Expected'!$C$3:$CP$3&gt;=$C37)*('Daily Expected'!$C$3:$CP$3&lt;=$D37)*'Daily Expected'!$C$4:$CP$12)</f>
        <v>20</v>
      </c>
      <c r="G37" s="30" t="n">
        <f aca="false">F37/'Assignment Calc'!$B$1</f>
        <v>2.22222222222222</v>
      </c>
      <c r="H37" s="30" t="n">
        <f aca="false">IF($A37="Unassigned",0,E37*'Assignment Calc'!$B$1)</f>
        <v>0</v>
      </c>
      <c r="I37" s="31" t="n">
        <f aca="false">IF(H37=0,0,F37/H37)</f>
        <v>0</v>
      </c>
      <c r="J37" s="2" t="str">
        <f aca="false">IF($A37="Unassigned",IF(F37&gt;0,"Unassigned hours","-"),IF(F37=0,"Unallocated",IF(F37&gt;H37+0.0001,"Over-allocated",IF(ABS(F37-H37)&lt;0.0001,"Optimally allocated","Under-allocated"))))</f>
        <v>Unassigned hours</v>
      </c>
      <c r="K37" s="30" t="n">
        <f aca="false">SUMPRODUCT(('Daily Closed-Cancelled'!$A$4:$A$12=$A37)*('Daily Closed-Cancelled'!$C$3:$CP$3&gt;=$C37)*('Daily Closed-Cancelled'!$C$3:$CP$3&lt;=$D37)*'Daily Closed-Cancelled'!$C$4:$CP$12)</f>
        <v>0</v>
      </c>
      <c r="L37" s="30" t="n">
        <f aca="false">F37-K37</f>
        <v>20</v>
      </c>
      <c r="M37" s="2" t="n">
        <f aca="false">SUMPRODUCT(('Daily Expected'!$A$4:$A$12=$A37)*('Daily Expected'!$C$3:$CP$3&gt;=$C37)*('Daily Expected'!$C$3:$CP$3&lt;=$D37)*(WEEKDAY('Daily Expected'!$C$3:$CP$3,2)&lt;6)*('Daily Expected'!$C$4:$CP$12&gt;'Assignment Calc'!$B$1+0.0001))</f>
        <v>0</v>
      </c>
      <c r="N37" s="2" t="n">
        <f aca="false">SUMPRODUCT(('Daily Expected'!$A$4:$A$12=$A37)*('Daily Expected'!$C$3:$CP$3&gt;=$C37)*('Daily Expected'!$C$3:$CP$3&lt;=$D37)*(WEEKDAY('Daily Expected'!$C$3:$CP$3,2)&lt;6)*(ABS('Daily Expected'!$C$4:$CP$12-'Assignment Calc'!$B$1)&lt;0.0001))</f>
        <v>0</v>
      </c>
      <c r="O37" s="2" t="n">
        <f aca="false">SUMPRODUCT(('Daily Expected'!$A$4:$A$12=$A37)*('Daily Expected'!$C$3:$CP$3&gt;=$C37)*('Daily Expected'!$C$3:$CP$3&lt;=$D37)*(WEEKDAY('Daily Expected'!$C$3:$CP$3,2)&lt;6)*('Daily Expected'!$C$4:$CP$12&gt;0)*('Daily Expected'!$C$4:$CP$12&lt;'Assignment Calc'!$B$1-0.0001))</f>
        <v>5</v>
      </c>
      <c r="P37" s="2" t="n">
        <f aca="false">SUMPRODUCT(('Daily Expected'!$A$4:$A$12=$A37)*('Daily Expected'!$C$3:$CP$3&gt;=$C37)*('Daily Expected'!$C$3:$CP$3&lt;=$D37)*(WEEKDAY('Daily Expected'!$C$3:$CP$3,2)&lt;6)*('Daily Expected'!$C$4:$CP$12=0))</f>
        <v>61</v>
      </c>
    </row>
  </sheetData>
  <autoFilter ref="A1:P37"/>
  <conditionalFormatting sqref="J2:J37">
    <cfRule type="expression" priority="2" aboveAverage="0" equalAverage="0" bottom="0" percent="0" rank="0" text="" dxfId="4">
      <formula>J2="Over-allocated"</formula>
    </cfRule>
    <cfRule type="expression" priority="3" aboveAverage="0" equalAverage="0" bottom="0" percent="0" rank="0" text="" dxfId="5">
      <formula>J2="Optimally allocated"</formula>
    </cfRule>
    <cfRule type="expression" priority="4" aboveAverage="0" equalAverage="0" bottom="0" percent="0" rank="0" text="" dxfId="6">
      <formula>J2="Under-allocated"</formula>
    </cfRule>
    <cfRule type="expression" priority="5" aboveAverage="0" equalAverage="0" bottom="0" percent="0" rank="0" text="" dxfId="3">
      <formula>J2="Unallocated"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2026-10-08T11:07:31Z</dcterms:created>
  <dc:creator>openpyxl</dc:creator>
  <dc:description/>
  <dc:language>en-US</dc:language>
  <cp:lastModifiedBy/>
  <dcterms:modified xsi:type="dcterms:W3CDTF">2026-10-08T11:18:56Z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